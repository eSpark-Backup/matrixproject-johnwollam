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iza\Downloads\"/>
    </mc:Choice>
  </mc:AlternateContent>
  <bookViews>
    <workbookView xWindow="0" yWindow="0" windowWidth="20430" windowHeight="7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1" i="1" l="1"/>
  <c r="P50" i="1"/>
  <c r="J27" i="1"/>
  <c r="K27" i="1" s="1"/>
  <c r="N27" i="1"/>
  <c r="K48" i="1"/>
  <c r="K49" i="1"/>
  <c r="K47" i="1"/>
  <c r="K46" i="1"/>
  <c r="K44" i="1"/>
  <c r="K45" i="1"/>
  <c r="K43" i="1"/>
  <c r="K42" i="1"/>
  <c r="K41" i="1"/>
  <c r="K29" i="1"/>
  <c r="K30" i="1"/>
  <c r="K31" i="1"/>
  <c r="K32" i="1"/>
  <c r="K33" i="1"/>
  <c r="K34" i="1"/>
  <c r="K35" i="1"/>
  <c r="K36" i="1"/>
  <c r="K37" i="1"/>
  <c r="K38" i="1"/>
  <c r="K39" i="1"/>
  <c r="K40" i="1"/>
  <c r="K28" i="1"/>
  <c r="K26" i="1"/>
  <c r="K25" i="1"/>
  <c r="K24" i="1"/>
  <c r="K23" i="1"/>
  <c r="K22" i="1"/>
  <c r="K21" i="1"/>
  <c r="K20" i="1"/>
  <c r="K19" i="1"/>
  <c r="K18" i="1"/>
  <c r="K16" i="1"/>
  <c r="K5" i="1"/>
  <c r="K6" i="1"/>
  <c r="K7" i="1"/>
  <c r="K8" i="1"/>
  <c r="K9" i="1"/>
  <c r="K10" i="1"/>
  <c r="K11" i="1"/>
  <c r="K12" i="1"/>
  <c r="K13" i="1"/>
  <c r="K14" i="1"/>
  <c r="K15" i="1"/>
  <c r="K4" i="1"/>
  <c r="K3" i="1"/>
  <c r="K17" i="1"/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3" i="1"/>
  <c r="P48" i="1" l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N51" i="1"/>
  <c r="P3" i="1"/>
</calcChain>
</file>

<file path=xl/sharedStrings.xml><?xml version="1.0" encoding="utf-8"?>
<sst xmlns="http://schemas.openxmlformats.org/spreadsheetml/2006/main" count="405" uniqueCount="256">
  <si>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</si>
  <si>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</si>
  <si>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</si>
  <si>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</si>
  <si>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</si>
  <si>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</si>
  <si>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</si>
  <si>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Alternate</t>
  </si>
  <si>
    <t>Value</t>
  </si>
  <si>
    <t>Quantity (Per Board)</t>
  </si>
  <si>
    <t>Quantity 80</t>
  </si>
  <si>
    <t>Link</t>
  </si>
  <si>
    <t>Unit Cost(1)</t>
  </si>
  <si>
    <t>Total Cost(1)</t>
  </si>
  <si>
    <t>Unit Cost (80 Boards)</t>
  </si>
  <si>
    <t>Total Cost (80)</t>
  </si>
  <si>
    <t>Remarks</t>
  </si>
  <si>
    <t>Capacitor</t>
  </si>
  <si>
    <t>CAP CER 10UF 10V X5R 0402</t>
  </si>
  <si>
    <t>C1, C23, C33, CF1</t>
  </si>
  <si>
    <t>Cap0402</t>
  </si>
  <si>
    <t>CL05A106MP8NUB8</t>
  </si>
  <si>
    <t>Samsung</t>
  </si>
  <si>
    <t>10uF</t>
  </si>
  <si>
    <t>Yageo</t>
  </si>
  <si>
    <t>0.1uF</t>
  </si>
  <si>
    <t>CAP CER 22UF 25V X5R 0805</t>
  </si>
  <si>
    <t>Cap0805</t>
  </si>
  <si>
    <t>Murata</t>
  </si>
  <si>
    <t>22uF</t>
  </si>
  <si>
    <t>CAP ALUM POLY 180UF 20% 16V SMD</t>
  </si>
  <si>
    <t>C11</t>
  </si>
  <si>
    <t>16SVPF180M</t>
  </si>
  <si>
    <t>Panasonic</t>
  </si>
  <si>
    <t>180uF</t>
  </si>
  <si>
    <t>CAP CER 0.47UF 25V X5R 0402</t>
  </si>
  <si>
    <t>C13</t>
  </si>
  <si>
    <t>GRT155R61E474KE01D</t>
  </si>
  <si>
    <t>470nF</t>
  </si>
  <si>
    <t>CAP CER 0.047UF 16V X5R 0201</t>
  </si>
  <si>
    <t>C14</t>
  </si>
  <si>
    <t>Cap 0201</t>
  </si>
  <si>
    <t>GRM033R61C473KE84D</t>
  </si>
  <si>
    <t>47nF</t>
  </si>
  <si>
    <t>CAP CER 47UF 25V X5R 1206</t>
  </si>
  <si>
    <t>C15, C16</t>
  </si>
  <si>
    <t>Cap1206</t>
  </si>
  <si>
    <t>GRM31CR61E476ME44L</t>
  </si>
  <si>
    <t>47uF</t>
  </si>
  <si>
    <t>CAP CER 4.7UF 25V X5R 0603</t>
  </si>
  <si>
    <t>C25, CU5</t>
  </si>
  <si>
    <t>Cap0603</t>
  </si>
  <si>
    <t>CL10A475KA8NQNC</t>
  </si>
  <si>
    <t>4.7UF</t>
  </si>
  <si>
    <t>CAP CER 47PF 50V C0G/NP0 0402</t>
  </si>
  <si>
    <t>C34, C35</t>
  </si>
  <si>
    <t>GCM1555C1H470JA16D</t>
  </si>
  <si>
    <t>47pF</t>
  </si>
  <si>
    <t>CAP CER 10UF 25V X5R 0603</t>
  </si>
  <si>
    <t>CF2, CF3</t>
  </si>
  <si>
    <t>TMK107BBJ106MA-T</t>
  </si>
  <si>
    <t>Taiyo Yuden</t>
  </si>
  <si>
    <t>CC0805MKX5R8BB226</t>
  </si>
  <si>
    <t>CAP CER 0.1UF 16V X7R 0402</t>
  </si>
  <si>
    <t>CC0402KRX7R7BB104</t>
  </si>
  <si>
    <t>CAP CER 1UF 25V X5R 0402</t>
  </si>
  <si>
    <t>CU6</t>
  </si>
  <si>
    <t>GRM155R61E105KA12D</t>
  </si>
  <si>
    <t>1uF</t>
  </si>
  <si>
    <t>CAP CER 10000PF 25V X7R 0402</t>
  </si>
  <si>
    <t>CU7</t>
  </si>
  <si>
    <t>CC0402KRX7R8BB103</t>
  </si>
  <si>
    <t>10nF</t>
  </si>
  <si>
    <t>CAP CER 20PF 25V C0H 0201</t>
  </si>
  <si>
    <t>CU9, CU10</t>
  </si>
  <si>
    <t>GJM0336C1E200JB01D</t>
  </si>
  <si>
    <t>20pF</t>
  </si>
  <si>
    <t>Diode</t>
  </si>
  <si>
    <t>DIODE SCHOTTKY 30V 1A SOD123W</t>
  </si>
  <si>
    <t>D1, D2</t>
  </si>
  <si>
    <t>PMEG3010ER,115</t>
  </si>
  <si>
    <t>NXP Semiconductors</t>
  </si>
  <si>
    <t>LED GREEN CLEAR CHIP 0603 SMD, LED GREEN CLEAR CHIP SMD</t>
  </si>
  <si>
    <t>LED1, LED2, LED3, LED4, LED5, LED6, LED7, LED8, LED9, LED10, LED11, LED12, LED13, LED14, LED15, LED16, LED17, LED18, LED19, LED20, LED21, LED22</t>
  </si>
  <si>
    <t>LTST-C190KGKT</t>
  </si>
  <si>
    <t>Vishay Lite-On</t>
  </si>
  <si>
    <t>Mosfet</t>
  </si>
  <si>
    <t>P-Channel 30V Fast Switching MOSFET</t>
  </si>
  <si>
    <t>Q1</t>
  </si>
  <si>
    <t>QM3001K</t>
  </si>
  <si>
    <t>TY Semiconductor</t>
  </si>
  <si>
    <t>NPN Resistor-Equiped Transistor, MOSFET N-CH 50V 200MA SOT-23</t>
  </si>
  <si>
    <t>Q2, Q17, Q18, Q19, Q20, Q21, Q22, Q23, Q24, Q29, Q30, Q31, Q32, Q33, Q34, Q35, Q36, Q39, Q40, Q41, Q42, Q47, Q48, Q49, Q50, Q51, Q52, Q53, Q54, Q59, Q60, Q61, Q62, Q63, Q64, Q65, Q66, Q69, Q70, Q71, Q72, Q73, Q74, Q75, Q76</t>
  </si>
  <si>
    <t>BSS138LT1G</t>
  </si>
  <si>
    <t>ON Semiconductor</t>
  </si>
  <si>
    <t>MOSFET P-CH 20V 2.8A SOT-23</t>
  </si>
  <si>
    <t>Q13, Q14, Q15, Q16, Q25, Q26, Q27, Q28, Q37, Q38, Q43, Q44, Q45, Q46, Q55, Q56, Q57, Q58, Q67, Q68</t>
  </si>
  <si>
    <t>PMV65XP,215</t>
  </si>
  <si>
    <t>Nexperia</t>
  </si>
  <si>
    <t>Inductor</t>
  </si>
  <si>
    <t>FERRITE BEAD 120 OHM 0402 1LN</t>
  </si>
  <si>
    <t>FB1</t>
  </si>
  <si>
    <t>MMZ1005F121ET000</t>
  </si>
  <si>
    <t>TDK</t>
  </si>
  <si>
    <t>2.2uH ±20% 5.5A 29mO SMD,5.75x5.2x3mm Inductors (SMD) RoHS</t>
  </si>
  <si>
    <t>L1</t>
  </si>
  <si>
    <t>MS0530-2R2M</t>
  </si>
  <si>
    <t>COILMX</t>
  </si>
  <si>
    <t>FIXED IND 3.3UH 6A 30 MOHM SMD</t>
  </si>
  <si>
    <t>LF1</t>
  </si>
  <si>
    <t>HCM0703-3R3-R</t>
  </si>
  <si>
    <t>Eaton Cooper</t>
  </si>
  <si>
    <t>Fuse</t>
  </si>
  <si>
    <t>PTC RESET FUSE 16V 2.5A 1812</t>
  </si>
  <si>
    <t>F1</t>
  </si>
  <si>
    <t>MF-MSMF250/16X-2</t>
  </si>
  <si>
    <t>Bourns</t>
  </si>
  <si>
    <t>Switch</t>
  </si>
  <si>
    <t>SWITCH TACTILE SPST-NO 0.05A 12V</t>
  </si>
  <si>
    <t>SW4</t>
  </si>
  <si>
    <t>B3U-1000P</t>
  </si>
  <si>
    <t>Omron</t>
  </si>
  <si>
    <t>2 Position SPDT Miniature Slide Switch 100MA 12V Through Hole, Right Angle</t>
  </si>
  <si>
    <t>SW5</t>
  </si>
  <si>
    <t>OS102011MA1QN1</t>
  </si>
  <si>
    <t>ITT C&amp;K</t>
  </si>
  <si>
    <t>Resistor</t>
  </si>
  <si>
    <t>RES SMD 10K OHM 1% 1/16W 0402</t>
  </si>
  <si>
    <t>Res0402</t>
  </si>
  <si>
    <t>RC0402FR-0710KL</t>
  </si>
  <si>
    <t>10K</t>
  </si>
  <si>
    <t>RES SMD 33.2K OHM 1% 1/16W 0402</t>
  </si>
  <si>
    <t>R2</t>
  </si>
  <si>
    <t>RC0402FR-0733K2L</t>
  </si>
  <si>
    <t>33.2K</t>
  </si>
  <si>
    <t>RES SMD 1K OHM 1% 1/16W 0402</t>
  </si>
  <si>
    <t>1K</t>
  </si>
  <si>
    <t>RES SMD 390 OHM 5% 1/10W 0603</t>
  </si>
  <si>
    <t>R5, R13, R14, R21, R22</t>
  </si>
  <si>
    <t>Res0603</t>
  </si>
  <si>
    <t>RC0603JR-07390RL</t>
  </si>
  <si>
    <t>390R</t>
  </si>
  <si>
    <t>RES SMD 330K OHM 1% 1/16W 0402</t>
  </si>
  <si>
    <t>R6</t>
  </si>
  <si>
    <t>RC0402FR-07330KL</t>
  </si>
  <si>
    <t>330K</t>
  </si>
  <si>
    <t>RES SMD 220K OHM 1% 1/16W 0402</t>
  </si>
  <si>
    <t>R7, R9</t>
  </si>
  <si>
    <t>RC0402FR-07220KL</t>
  </si>
  <si>
    <t>220K</t>
  </si>
  <si>
    <t>RES SMD 100 OHM 1% 1/16W 0402</t>
  </si>
  <si>
    <t>R8</t>
  </si>
  <si>
    <t>RC0402FR-07100RL</t>
  </si>
  <si>
    <t>100R</t>
  </si>
  <si>
    <t>RES SMD 270K OHM 1% 1/16W 0402</t>
  </si>
  <si>
    <t>R10</t>
  </si>
  <si>
    <t>RC0402FR-07270KL</t>
  </si>
  <si>
    <t>270K</t>
  </si>
  <si>
    <t>RES 240 OHM 1% 1/16W 0402</t>
  </si>
  <si>
    <t>R11, R15, R18, R23, R24</t>
  </si>
  <si>
    <t>CRCW0402240RFKEDC</t>
  </si>
  <si>
    <t>Vishay</t>
  </si>
  <si>
    <t>240R</t>
  </si>
  <si>
    <t>RES SMD 27 OHM 1% 1/16W 0402</t>
  </si>
  <si>
    <t>R16, R17</t>
  </si>
  <si>
    <t>RT0402FRE0727RL</t>
  </si>
  <si>
    <t>27R</t>
  </si>
  <si>
    <t>RES SMD 4.7K OHM 1% 1/16W 0402</t>
  </si>
  <si>
    <t>R38, R46, R48, R50</t>
  </si>
  <si>
    <t>RC0402FR-074K7L</t>
  </si>
  <si>
    <t>4.7K</t>
  </si>
  <si>
    <t>RES SMD 330 OHM 1% 1/16W 0402</t>
  </si>
  <si>
    <t>R67, R68, R69, R70, R79, R80, R81, R82, R87, R88, R98, R99, R100, R101, R110, R111, R112, R113, R118, R119</t>
  </si>
  <si>
    <t>RC0402FR-07330RL</t>
  </si>
  <si>
    <t>330R</t>
  </si>
  <si>
    <t>RES SMD 54.9K OHM 1% 1/16W 0402</t>
  </si>
  <si>
    <t>RF2</t>
  </si>
  <si>
    <t>AC0402FR-0754K9L</t>
  </si>
  <si>
    <t>54.9K</t>
  </si>
  <si>
    <t>RES SMD 20K OHM 1% 1/16W 0402</t>
  </si>
  <si>
    <t>RF10, RU1, RU2, RU3</t>
  </si>
  <si>
    <t>RC0402JR-0720KL</t>
  </si>
  <si>
    <t>20K</t>
  </si>
  <si>
    <t>AT0402FRE071KL</t>
  </si>
  <si>
    <t>Crystal</t>
  </si>
  <si>
    <t>8MHz ±20ppm 20pF SMD,12.5x4.5mm SMD Crystal Resonators RoHS</t>
  </si>
  <si>
    <t>X1</t>
  </si>
  <si>
    <t>49MD-8.000-20-20-20/A</t>
  </si>
  <si>
    <t>Suzhou Liming Elec</t>
  </si>
  <si>
    <t>Ics</t>
  </si>
  <si>
    <t>IC REG BUCK ADJ 3A TSOT23-6</t>
  </si>
  <si>
    <t>U1, U2</t>
  </si>
  <si>
    <t>TPS563201DDCR</t>
  </si>
  <si>
    <t>Texas Instruments</t>
  </si>
  <si>
    <t>TVS DIODE 5V 6.8V 6UDFN</t>
  </si>
  <si>
    <t>U3</t>
  </si>
  <si>
    <t>SP3014-02UTG</t>
  </si>
  <si>
    <t>Littelfuse</t>
  </si>
  <si>
    <t>IC MCU 32BIT 128KB FLASH 48LQFP</t>
  </si>
  <si>
    <t>U4</t>
  </si>
  <si>
    <t>STM32F070CBT6TR</t>
  </si>
  <si>
    <t>TransistorOptocouplers DC 1 2500Vrms SOP-4_P1.27 Optocouplers RoHS</t>
  </si>
  <si>
    <t>U5, U6, U7, U8, U9</t>
  </si>
  <si>
    <t>PS2801C-1-F3-A</t>
  </si>
  <si>
    <t>CEL</t>
  </si>
  <si>
    <t>Connector</t>
  </si>
  <si>
    <t>CONN USB MICRO B RECPT SMT R/A</t>
  </si>
  <si>
    <t>USB1</t>
  </si>
  <si>
    <t>10118192-0001LF</t>
  </si>
  <si>
    <t>Amphenol FCI</t>
  </si>
  <si>
    <t>TERM BLK 12P SIDE ENT 5.08MM PCB</t>
  </si>
  <si>
    <t>J6</t>
  </si>
  <si>
    <t>1729225</t>
  </si>
  <si>
    <t>Phoenix Contact</t>
  </si>
  <si>
    <t>CONN HEADER VERT 11POS 2.54MM</t>
  </si>
  <si>
    <t>P2, P3</t>
  </si>
  <si>
    <t>0022232111</t>
  </si>
  <si>
    <t>Molex</t>
  </si>
  <si>
    <t>Socket</t>
  </si>
  <si>
    <t>J1, J2, J3, J4, J5, J7, J8</t>
  </si>
  <si>
    <t>-------</t>
  </si>
  <si>
    <t xml:space="preserve">Total Component Cost </t>
  </si>
  <si>
    <t>Single Board Cost</t>
  </si>
  <si>
    <t xml:space="preserve">Notes: </t>
  </si>
  <si>
    <t>1- The costing is done for Eighty (80) boards. All components will be calculated with multiplication factor Eighty 80</t>
  </si>
  <si>
    <t>Digikey</t>
  </si>
  <si>
    <t>GRT21BR61E226ME13L</t>
  </si>
  <si>
    <t>C3216X5R1E476M160AC</t>
  </si>
  <si>
    <t>VJ0402D470JXAAJ</t>
  </si>
  <si>
    <t>ZRB18AR61E106ME01L</t>
  </si>
  <si>
    <t>GRM155C81E105KE11D</t>
  </si>
  <si>
    <t>PMEG3010BER,115</t>
  </si>
  <si>
    <t>BVSS138LT1G</t>
  </si>
  <si>
    <t>AC0402FR-07240RL</t>
  </si>
  <si>
    <t>RC0402FR-0727RL</t>
  </si>
  <si>
    <t>RMCF0402FT54K9</t>
  </si>
  <si>
    <t>UTmelElectronic</t>
  </si>
  <si>
    <t>LCSC</t>
  </si>
  <si>
    <t>BSS308PEH6327XTSA1</t>
  </si>
  <si>
    <t>Custom</t>
  </si>
  <si>
    <t>-------------</t>
  </si>
  <si>
    <t xml:space="preserve">TMK107BBJ475MA-T
</t>
  </si>
  <si>
    <t>CF6, CF7, C9, CS1</t>
  </si>
  <si>
    <t>C2, C8, C10, C12, C17, C32, CF4, CF5, CF8'CU1, CU2, CU3, CU4, CU8</t>
  </si>
  <si>
    <t xml:space="preserve">CC0201JRNPO8BN200
</t>
  </si>
  <si>
    <t>APT1608CGCK</t>
  </si>
  <si>
    <t>PMV74EPER</t>
  </si>
  <si>
    <t>Arrow</t>
  </si>
  <si>
    <t>Mouser</t>
  </si>
  <si>
    <t>RP1, RP2, RP3, RP4, RP5, RP6, RP7, RP8, RP9, RP10, RP11, RP12, RP13, RP14, RP15, RP16, RP17, RP18, RP19, RP20,R3, R58</t>
  </si>
  <si>
    <t>STMicroelectronics</t>
  </si>
  <si>
    <t>Element 14</t>
  </si>
  <si>
    <t>Bill of Material (BOM) for John Wollam</t>
  </si>
  <si>
    <t>16SVF180M</t>
  </si>
  <si>
    <t>Newark</t>
  </si>
  <si>
    <t>R1, R4, R59, R60, R61, R62, R63, R64, R65, R66, R71, R72, R73, R74, R75, R76, R77, R78, R83, R84, R85, R86, R90, R91, R92, R93, R94, R95, R96, R97, R102, R103, R104, R105, R106, R107, R108, R109, R114, R115, R116, R117, R120, R121, R122, R123, R12, R19, R20, R25, R26, RF3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</si>
</sst>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00"/>
    <numFmt numFmtId="165" formatCode="&quot;$&quot;#,##0.00000"/>
    <numFmt numFmtId="166" formatCode="_(&quot;$&quot;* #,##0.00000_);_(&quot;$&quot;* \(#,##0.00000\);_(&quot;$&quot;* &quot;-&quot;??_);_(@_)"/>
    <numFmt numFmtId="167" formatCode="&quot;$&quot;#,##0.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rgb="FF222222"/>
      <name val="Arial"/>
      <family val="2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9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0" fontId="3" fillId="0" borderId="8" xfId="0" quotePrefix="1" applyFont="1" applyBorder="1"/>
    <xf numFmtId="0" fontId="3" fillId="0" borderId="9" xfId="0" quotePrefix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5" fontId="6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12" xfId="0" quotePrefix="1" applyFont="1" applyBorder="1"/>
    <xf numFmtId="0" fontId="3" fillId="0" borderId="13" xfId="0" quotePrefix="1" applyFont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" fillId="0" borderId="13" xfId="1" quotePrefix="1" applyFont="1" applyBorder="1" applyAlignment="1">
      <alignment horizontal="center" vertical="center"/>
    </xf>
    <xf numFmtId="0" fontId="3" fillId="0" borderId="16" xfId="0" quotePrefix="1" applyFont="1" applyBorder="1"/>
    <xf numFmtId="0" fontId="3" fillId="0" borderId="17" xfId="0" quotePrefix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9" xfId="0" quotePrefix="1" applyFont="1" applyBorder="1"/>
    <xf numFmtId="0" fontId="3" fillId="0" borderId="20" xfId="0" quotePrefix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5" borderId="17" xfId="0" quotePrefix="1" applyFont="1" applyFill="1" applyBorder="1" applyAlignment="1">
      <alignment horizontal="center" vertical="center" wrapText="1"/>
    </xf>
    <xf numFmtId="0" fontId="3" fillId="5" borderId="17" xfId="0" quotePrefix="1" applyFont="1" applyFill="1" applyBorder="1" applyAlignment="1">
      <alignment horizontal="center" vertical="center"/>
    </xf>
    <xf numFmtId="0" fontId="3" fillId="5" borderId="18" xfId="0" quotePrefix="1" applyFont="1" applyFill="1" applyBorder="1" applyAlignment="1">
      <alignment horizontal="center" vertical="center"/>
    </xf>
    <xf numFmtId="0" fontId="1" fillId="0" borderId="0" xfId="0" applyFont="1"/>
    <xf numFmtId="166" fontId="0" fillId="0" borderId="22" xfId="0" applyNumberFormat="1" applyFont="1" applyFill="1" applyBorder="1" applyAlignment="1">
      <alignment horizontal="center" vertical="center"/>
    </xf>
    <xf numFmtId="167" fontId="0" fillId="0" borderId="0" xfId="0" applyNumberFormat="1"/>
    <xf numFmtId="0" fontId="5" fillId="0" borderId="13" xfId="1" applyBorder="1" applyAlignment="1">
      <alignment horizontal="center" vertical="center"/>
    </xf>
    <xf numFmtId="0" fontId="5" fillId="0" borderId="17" xfId="1" applyBorder="1" applyAlignment="1">
      <alignment horizontal="center" vertical="center"/>
    </xf>
    <xf numFmtId="0" fontId="5" fillId="0" borderId="9" xfId="1" applyBorder="1" applyAlignment="1">
      <alignment horizontal="center" vertical="center"/>
    </xf>
    <xf numFmtId="0" fontId="5" fillId="0" borderId="13" xfId="1" applyFill="1" applyBorder="1" applyAlignment="1">
      <alignment horizontal="center" vertical="center"/>
    </xf>
    <xf numFmtId="0" fontId="3" fillId="0" borderId="12" xfId="0" quotePrefix="1" applyFont="1" applyFill="1" applyBorder="1"/>
    <xf numFmtId="0" fontId="3" fillId="0" borderId="13" xfId="0" quotePrefix="1" applyFont="1" applyFill="1" applyBorder="1" applyAlignment="1">
      <alignment horizontal="center" vertical="center"/>
    </xf>
    <xf numFmtId="0" fontId="3" fillId="5" borderId="16" xfId="0" quotePrefix="1" applyFont="1" applyFill="1" applyBorder="1"/>
    <xf numFmtId="0" fontId="9" fillId="0" borderId="10" xfId="0" applyFont="1" applyBorder="1"/>
    <xf numFmtId="0" fontId="5" fillId="0" borderId="20" xfId="1" applyFont="1" applyBorder="1" applyAlignment="1">
      <alignment horizontal="center" vertical="center"/>
    </xf>
    <xf numFmtId="0" fontId="0" fillId="7" borderId="14" xfId="0" applyFill="1" applyBorder="1"/>
    <xf numFmtId="0" fontId="4" fillId="0" borderId="14" xfId="0" applyFont="1" applyFill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6" fillId="0" borderId="17" xfId="0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164" fontId="6" fillId="0" borderId="20" xfId="0" applyNumberFormat="1" applyFont="1" applyBorder="1" applyAlignment="1">
      <alignment horizontal="center" vertical="center"/>
    </xf>
    <xf numFmtId="164" fontId="6" fillId="0" borderId="13" xfId="0" applyNumberFormat="1" applyFont="1" applyFill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4" fontId="4" fillId="0" borderId="17" xfId="0" applyNumberFormat="1" applyFont="1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/>
    </xf>
    <xf numFmtId="164" fontId="4" fillId="0" borderId="20" xfId="0" applyNumberFormat="1" applyFont="1" applyBorder="1" applyAlignment="1">
      <alignment horizontal="center" vertical="center"/>
    </xf>
    <xf numFmtId="164" fontId="4" fillId="0" borderId="1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24" xfId="0" applyBorder="1"/>
    <xf numFmtId="0" fontId="3" fillId="0" borderId="26" xfId="0" quotePrefix="1" applyFont="1" applyBorder="1" applyAlignment="1">
      <alignment horizontal="center" vertical="center"/>
    </xf>
    <xf numFmtId="0" fontId="3" fillId="0" borderId="25" xfId="0" quotePrefix="1" applyFont="1" applyBorder="1" applyAlignment="1">
      <alignment horizontal="center" vertical="center"/>
    </xf>
    <xf numFmtId="0" fontId="3" fillId="0" borderId="13" xfId="0" quotePrefix="1" applyFont="1" applyBorder="1" applyAlignment="1">
      <alignment horizontal="center" vertical="center" wrapText="1"/>
    </xf>
    <xf numFmtId="0" fontId="3" fillId="0" borderId="17" xfId="0" quotePrefix="1" applyFont="1" applyBorder="1" applyAlignment="1">
      <alignment horizontal="center" vertical="center" wrapText="1"/>
    </xf>
    <xf numFmtId="0" fontId="3" fillId="0" borderId="16" xfId="0" quotePrefix="1" applyFont="1" applyBorder="1" applyAlignment="1">
      <alignment horizontal="left" vertical="center"/>
    </xf>
    <xf numFmtId="0" fontId="4" fillId="0" borderId="9" xfId="0" quotePrefix="1" applyFont="1" applyBorder="1" applyAlignment="1">
      <alignment horizontal="center" vertical="center"/>
    </xf>
    <xf numFmtId="0" fontId="4" fillId="0" borderId="13" xfId="0" quotePrefix="1" applyFont="1" applyBorder="1" applyAlignment="1">
      <alignment horizontal="center" vertical="center"/>
    </xf>
    <xf numFmtId="0" fontId="3" fillId="6" borderId="13" xfId="0" quotePrefix="1" applyFont="1" applyFill="1" applyBorder="1" applyAlignment="1">
      <alignment horizontal="center" vertical="center"/>
    </xf>
    <xf numFmtId="0" fontId="5" fillId="6" borderId="13" xfId="1" applyFill="1" applyBorder="1" applyAlignment="1">
      <alignment horizontal="center" vertical="center"/>
    </xf>
    <xf numFmtId="164" fontId="4" fillId="6" borderId="13" xfId="0" applyNumberFormat="1" applyFont="1" applyFill="1" applyBorder="1" applyAlignment="1">
      <alignment horizontal="center" vertical="center"/>
    </xf>
    <xf numFmtId="164" fontId="6" fillId="6" borderId="13" xfId="0" applyNumberFormat="1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3" fillId="0" borderId="12" xfId="0" quotePrefix="1" applyFont="1" applyBorder="1" applyAlignment="1">
      <alignment horizontal="left" vertical="center"/>
    </xf>
    <xf numFmtId="0" fontId="4" fillId="6" borderId="13" xfId="0" quotePrefix="1" applyFont="1" applyFill="1" applyBorder="1" applyAlignment="1">
      <alignment horizontal="center" vertical="center"/>
    </xf>
    <xf numFmtId="0" fontId="3" fillId="0" borderId="16" xfId="0" quotePrefix="1" applyFont="1" applyBorder="1" applyAlignment="1">
      <alignment horizontal="left" vertical="center" wrapText="1"/>
    </xf>
    <xf numFmtId="0" fontId="3" fillId="0" borderId="27" xfId="0" quotePrefix="1" applyFont="1" applyBorder="1" applyAlignment="1">
      <alignment horizontal="center" vertical="center"/>
    </xf>
    <xf numFmtId="0" fontId="3" fillId="0" borderId="31" xfId="0" quotePrefix="1" applyFont="1" applyBorder="1"/>
    <xf numFmtId="0" fontId="3" fillId="0" borderId="23" xfId="0" quotePrefix="1" applyFont="1" applyBorder="1" applyAlignment="1">
      <alignment horizontal="center" vertical="center"/>
    </xf>
    <xf numFmtId="0" fontId="3" fillId="0" borderId="22" xfId="0" quotePrefix="1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5" fillId="0" borderId="23" xfId="1" applyBorder="1" applyAlignment="1">
      <alignment horizontal="center" vertical="center"/>
    </xf>
    <xf numFmtId="164" fontId="4" fillId="0" borderId="23" xfId="0" applyNumberFormat="1" applyFont="1" applyBorder="1" applyAlignment="1">
      <alignment horizontal="center" vertical="center"/>
    </xf>
    <xf numFmtId="164" fontId="6" fillId="0" borderId="23" xfId="0" applyNumberFormat="1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3" fillId="6" borderId="17" xfId="0" quotePrefix="1" applyFont="1" applyFill="1" applyBorder="1" applyAlignment="1">
      <alignment horizontal="center" vertical="center"/>
    </xf>
    <xf numFmtId="0" fontId="5" fillId="6" borderId="17" xfId="1" applyFill="1" applyBorder="1" applyAlignment="1">
      <alignment horizontal="center" vertical="center"/>
    </xf>
    <xf numFmtId="164" fontId="4" fillId="6" borderId="17" xfId="0" applyNumberFormat="1" applyFont="1" applyFill="1" applyBorder="1" applyAlignment="1">
      <alignment horizontal="center" vertical="center"/>
    </xf>
    <xf numFmtId="164" fontId="6" fillId="6" borderId="17" xfId="0" applyNumberFormat="1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0" borderId="23" xfId="0" quotePrefix="1" applyFont="1" applyBorder="1" applyAlignment="1">
      <alignment horizontal="center" vertical="center"/>
    </xf>
    <xf numFmtId="164" fontId="7" fillId="0" borderId="23" xfId="0" applyNumberFormat="1" applyFont="1" applyBorder="1" applyAlignment="1">
      <alignment horizontal="center" vertical="center"/>
    </xf>
    <xf numFmtId="0" fontId="3" fillId="0" borderId="34" xfId="0" quotePrefix="1" applyFont="1" applyBorder="1"/>
    <xf numFmtId="0" fontId="4" fillId="0" borderId="25" xfId="0" quotePrefix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5" fillId="0" borderId="25" xfId="1" applyBorder="1" applyAlignment="1">
      <alignment horizontal="center" vertical="center"/>
    </xf>
    <xf numFmtId="164" fontId="7" fillId="0" borderId="25" xfId="0" applyNumberFormat="1" applyFont="1" applyBorder="1" applyAlignment="1">
      <alignment horizontal="center" vertical="center"/>
    </xf>
    <xf numFmtId="164" fontId="6" fillId="0" borderId="25" xfId="0" applyNumberFormat="1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6" borderId="0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6" borderId="12" xfId="0" quotePrefix="1" applyFont="1" applyFill="1" applyBorder="1" applyAlignment="1">
      <alignment horizontal="left" vertical="center"/>
    </xf>
    <xf numFmtId="0" fontId="3" fillId="6" borderId="25" xfId="0" quotePrefix="1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 wrapText="1"/>
    </xf>
    <xf numFmtId="167" fontId="6" fillId="0" borderId="9" xfId="0" applyNumberFormat="1" applyFont="1" applyBorder="1" applyAlignment="1">
      <alignment horizontal="center" vertical="center"/>
    </xf>
    <xf numFmtId="0" fontId="3" fillId="6" borderId="8" xfId="0" quotePrefix="1" applyFont="1" applyFill="1" applyBorder="1" applyAlignment="1">
      <alignment horizontal="left" vertical="center"/>
    </xf>
    <xf numFmtId="0" fontId="3" fillId="6" borderId="9" xfId="0" quotePrefix="1" applyFont="1" applyFill="1" applyBorder="1" applyAlignment="1">
      <alignment horizontal="center" vertical="center" wrapText="1"/>
    </xf>
    <xf numFmtId="0" fontId="3" fillId="6" borderId="9" xfId="0" quotePrefix="1" applyFont="1" applyFill="1" applyBorder="1" applyAlignment="1">
      <alignment horizontal="center" vertical="center"/>
    </xf>
    <xf numFmtId="0" fontId="5" fillId="6" borderId="20" xfId="1" applyFill="1" applyBorder="1" applyAlignment="1">
      <alignment horizontal="center" vertical="center"/>
    </xf>
    <xf numFmtId="164" fontId="7" fillId="6" borderId="20" xfId="0" applyNumberFormat="1" applyFont="1" applyFill="1" applyBorder="1" applyAlignment="1">
      <alignment horizontal="center" vertical="center"/>
    </xf>
    <xf numFmtId="164" fontId="6" fillId="6" borderId="20" xfId="0" applyNumberFormat="1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3" fillId="6" borderId="19" xfId="0" quotePrefix="1" applyFont="1" applyFill="1" applyBorder="1"/>
    <xf numFmtId="0" fontId="3" fillId="6" borderId="20" xfId="0" quotePrefix="1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20" xfId="0" quotePrefix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yageo/RC0402FR-07270KL/726575?s=N4IgTCBcDaIEoGEAMAWJYBicC0SDsYeSA0gDIgC6AvkA" TargetMode="External"/><Relationship Id="rId18" Type="http://schemas.openxmlformats.org/officeDocument/2006/relationships/hyperlink" Target="https://www.digikey.com/en/products/detail/littelfuse-inc/SP3014-02UTG/5043991?s=N4IgTCBcDaIMoAUDMAGAjAFgLQrAVQBUBxEAXQF8g" TargetMode="External"/><Relationship Id="rId26" Type="http://schemas.openxmlformats.org/officeDocument/2006/relationships/hyperlink" Target="https://www.digikey.com/en/products/detail/murata-electronics/GRT21BR61E226ME13L/5416811" TargetMode="External"/><Relationship Id="rId39" Type="http://schemas.openxmlformats.org/officeDocument/2006/relationships/hyperlink" Target="https://www.digikey.com/en/products/detail/yageo/CC0201JRNPO8BN200/5883132" TargetMode="External"/><Relationship Id="rId21" Type="http://schemas.openxmlformats.org/officeDocument/2006/relationships/hyperlink" Target="https://www.digikey.com/en/products/detail/molex/0022232111/26685?s=N4IgTCBcDaIAxzEgzGAjBkBdAvkA" TargetMode="External"/><Relationship Id="rId34" Type="http://schemas.openxmlformats.org/officeDocument/2006/relationships/hyperlink" Target="https://www.utmel.com/productdetail/stmicroelectronics-stm32f070cbt6tr-4846348" TargetMode="External"/><Relationship Id="rId42" Type="http://schemas.openxmlformats.org/officeDocument/2006/relationships/hyperlink" Target="https://www.arrow.com/en/products/mmz1005f121et000/tdk?utm_campaign=octopart_2020&amp;utm_currency=USD&amp;utm_keyword=MMZ1005F121ET000&amp;utm_medium=aggregator&amp;utm_content=inv_listing&amp;utm_source=octopart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https://www.digikey.com/en/products/detail/c-k/OS102011MA1QN1/1981430?s=N4IgTCBcDaIPIGUCMAGMKlILIEEkEUA5JEAXQF8g" TargetMode="External"/><Relationship Id="rId2" Type="http://schemas.openxmlformats.org/officeDocument/2006/relationships/hyperlink" Target="https://www.digikey.com/en/products/detail/murata-electronics/GRT155R61E474KE01D/5416691?s=N4IgTCBcDaIOICUAqBGArGhA2FBRALAOz4DSuADCgCIgC6AvkA" TargetMode="External"/><Relationship Id="rId16" Type="http://schemas.openxmlformats.org/officeDocument/2006/relationships/hyperlink" Target="https://www.digikey.com/en/products/detail/yageo/RC0402JR-0720KL/2827648?s=N4IgTCBcDaIEoGEAMAWJYBScC0SDsYSA0gDIgC6AvkA" TargetMode="External"/><Relationship Id="rId29" Type="http://schemas.openxmlformats.org/officeDocument/2006/relationships/hyperlink" Target="https://www.newark.com/on-semiconductor/bvss138lt1g/mosfet-n-ch-50v-0-2a-sot-23/dp/02AC3411?st=bvss138lt1g" TargetMode="External"/><Relationship Id="rId1" Type="http://schemas.openxmlformats.org/officeDocument/2006/relationships/hyperlink" Target="https://www.digikey.com/en/products/detail/panasonic-electronic-components/16SVF180M/7564786" TargetMode="External"/><Relationship Id="rId6" Type="http://schemas.openxmlformats.org/officeDocument/2006/relationships/hyperlink" Target="https://www.digikey.com/en/products/detail/bourns-inc/MF-MSMF250-16X-2/2563289?s=N4IgTCBcDaILIDEC0cDKiwFYAMB6AjAGwAaSEAugL5A" TargetMode="External"/><Relationship Id="rId11" Type="http://schemas.openxmlformats.org/officeDocument/2006/relationships/hyperlink" Target="https://www.digikey.com/en/products/detail/yageo/RC0402FR-07220KL/726564?s=N4IgTCBcDaIEoGEAMAWJYBicC0SDsYYSA0gDIgC6AvkA" TargetMode="External"/><Relationship Id="rId24" Type="http://schemas.openxmlformats.org/officeDocument/2006/relationships/hyperlink" Target="https://www.digikey.com/en/products/detail/vishay-vitramon/VJ0402D470JXAAJ/3280867" TargetMode="External"/><Relationship Id="rId32" Type="http://schemas.openxmlformats.org/officeDocument/2006/relationships/hyperlink" Target="https://www.digikey.com/en/products/detail/stackpole-electronics-inc/RMCF0402FT54K9/1761719" TargetMode="External"/><Relationship Id="rId37" Type="http://schemas.openxmlformats.org/officeDocument/2006/relationships/hyperlink" Target="https://lcsc.com/product-detail/Power-Inductors_COILMX-MS0530-2R2M_C380163.html" TargetMode="External"/><Relationship Id="rId40" Type="http://schemas.openxmlformats.org/officeDocument/2006/relationships/hyperlink" Target="https://www.digikey.com/en/products/detail/kingbright/APT1608CGCK/1747514" TargetMode="External"/><Relationship Id="rId45" Type="http://schemas.openxmlformats.org/officeDocument/2006/relationships/hyperlink" Target="https://www.digikey.com/en/products/detail/RC0402FR-0710KL/311-10.0KLRCT-ND/729470?utm_campaign=buynow&amp;utm_medium=aggregator&amp;curr=usd&amp;utm_source=octopart" TargetMode="External"/><Relationship Id="rId5" Type="http://schemas.openxmlformats.org/officeDocument/2006/relationships/hyperlink" Target="https://www.digikey.com/en/products/detail/yageo/CC0402KRX7R8BB103/2103075?s=N4IgTCBcDaIMJwAwBZFgNICUAaB2TAHAEJECMiAzCALoC%2BQA" TargetMode="External"/><Relationship Id="rId15" Type="http://schemas.openxmlformats.org/officeDocument/2006/relationships/hyperlink" Target="https://www.digikey.com/en/products/detail/yageo/RC0402FR-07330RL/726594?s=N4IgTCBcDaIEoGEAMAWJYBicC0SDsAzAUnADIgC6AvkA" TargetMode="External"/><Relationship Id="rId23" Type="http://schemas.openxmlformats.org/officeDocument/2006/relationships/hyperlink" Target="https://www.digikey.com/en/products/detail/tdk-corporation/C3216X5R1E476M160AC/2792260" TargetMode="External"/><Relationship Id="rId28" Type="http://schemas.openxmlformats.org/officeDocument/2006/relationships/hyperlink" Target="https://www.digikey.com/en/products/detail/nexperia-usa-inc/PMEG3010BER-115/2119866" TargetMode="External"/><Relationship Id="rId36" Type="http://schemas.openxmlformats.org/officeDocument/2006/relationships/hyperlink" Target="https://www.digikey.com/en/products/detail/infineon-technologies/BSS308PEH6327XTSA1/2783466" TargetMode="External"/><Relationship Id="rId10" Type="http://schemas.openxmlformats.org/officeDocument/2006/relationships/hyperlink" Target="https://www.digikey.com/en/products/detail/yageo/RC0402FR-07330KL/2827574?s=N4IgTCBcDaIEoGEAMAWJYBicC0SDsAzAUgNIAyIAugL5A" TargetMode="External"/><Relationship Id="rId19" Type="http://schemas.openxmlformats.org/officeDocument/2006/relationships/hyperlink" Target="https://www.digikey.com/en/products/detail/amphenol-icc-fci/10118192-0001LF/2785387?s=N4IgTCBcDaIIwAY5wBxwJxgLQN3AMgGIgC6AvkA" TargetMode="External"/><Relationship Id="rId31" Type="http://schemas.openxmlformats.org/officeDocument/2006/relationships/hyperlink" Target="https://www.digikey.com/en/products/detail/yageo/RC0402FR-0727RL/5280946" TargetMode="External"/><Relationship Id="rId44" Type="http://schemas.openxmlformats.org/officeDocument/2006/relationships/hyperlink" Target="https://www.arrow.com/en/products/b3u1000p/omron?utm_campaign=octopart_2020&amp;utm_currency=USD&amp;utm_keyword=B3U-1000P&amp;utm_medium=aggregator&amp;utm_term=backorder&amp;utm_content=inv_listing&amp;utm_source=octopart" TargetMode="External"/><Relationship Id="rId4" Type="http://schemas.openxmlformats.org/officeDocument/2006/relationships/hyperlink" Target="https://www.digikey.com/en/products/detail/yageo/CC0402KRX7R7BB104/2103076?s=N4IgTCBcDaIMJwAwBZFgNICUAaB2TuAQoQIwogC6AvkA" TargetMode="External"/><Relationship Id="rId9" Type="http://schemas.openxmlformats.org/officeDocument/2006/relationships/hyperlink" Target="https://www.digikey.com/en/products/detail/yageo/RC0603JR-07390RL/726777?s=N4IgTCBcDaIEoGEAMA2JBmAUnAtEg7OgJxJwAyIAugL5A" TargetMode="External"/><Relationship Id="rId14" Type="http://schemas.openxmlformats.org/officeDocument/2006/relationships/hyperlink" Target="https://www.digikey.com/en/products/detail/yageo/RC0402FR-074K7L/2827563?s=N4IgTCBcDaIEoGEAMAWJYBicC0SDsKA0ngDIgC6AvkA" TargetMode="External"/><Relationship Id="rId22" Type="http://schemas.openxmlformats.org/officeDocument/2006/relationships/hyperlink" Target="https://www.digikey.com/en/products/detail/samsung-electro-mechanics/CL05A106MP8NUB8/5961314?s=N4IgTCBcDaIMIBkAMBWAggRiQNgLIAUAOAOQFUAhQkAXQF8g" TargetMode="External"/><Relationship Id="rId27" Type="http://schemas.openxmlformats.org/officeDocument/2006/relationships/hyperlink" Target="https://www.digikey.com/en/products/detail/murata-electronics/GRM155C81E105KE11D/4905095" TargetMode="External"/><Relationship Id="rId30" Type="http://schemas.openxmlformats.org/officeDocument/2006/relationships/hyperlink" Target="https://www.digikey.com/en/products/detail/yageo/AC0402FR-07240RL/5895205" TargetMode="External"/><Relationship Id="rId35" Type="http://schemas.openxmlformats.org/officeDocument/2006/relationships/hyperlink" Target="https://lcsc.com/product-detail/SMD-Crystal-Resonators_Suzhou-Liming-Elec-49MD-8-000-20-20-20-A_C240959.html" TargetMode="External"/><Relationship Id="rId43" Type="http://schemas.openxmlformats.org/officeDocument/2006/relationships/hyperlink" Target="https://eu.mouser.com/ProductDetail/Coiltronics-Eaton/HCM0703-3R3-R?qs=%2Fha2pyFadugaObrgME%252BT6pkVCOVpvrc3zL21XA%2FS3biAJCd56NVehg==&amp;utm_source=octopart&amp;utm_medium=aggregator&amp;utm_campaign=704-HCM0703-3R3-R&amp;utm_content=Eaton" TargetMode="External"/><Relationship Id="rId8" Type="http://schemas.openxmlformats.org/officeDocument/2006/relationships/hyperlink" Target="https://www.digikey.com/en/products/detail/yageo/RC0402FR-0733K2L/2827645?s=N4IgTCBcDaIEoGEAMAWJYBicC0SDsAzAQNJgAyIAugL5A" TargetMode="External"/><Relationship Id="rId3" Type="http://schemas.openxmlformats.org/officeDocument/2006/relationships/hyperlink" Target="https://www.digikey.com/en/products/detail/murata-electronics/GRM033R61C473KE84D/4213132?s=N4IgTCBcDaIOICUCyAGAzGhA2AjAYQBYB2NAaQFEAOAgERAF0BfIA" TargetMode="External"/><Relationship Id="rId12" Type="http://schemas.openxmlformats.org/officeDocument/2006/relationships/hyperlink" Target="https://www.digikey.com/en/products/detail/yageo/RC0402FR-07100RL/726527?s=N4IgTCBcDaIEoGEAMAWJYBicC0SDsAjEknADIgC6AvkA" TargetMode="External"/><Relationship Id="rId17" Type="http://schemas.openxmlformats.org/officeDocument/2006/relationships/hyperlink" Target="https://www.digikey.com/en/products/detail/yageo/AT0402FRE071KL/5138624?s=N4IgTCBcDaIIIBUAMAWJYBiAlAokg7AIwDSAMiALoC%2BQA" TargetMode="External"/><Relationship Id="rId25" Type="http://schemas.openxmlformats.org/officeDocument/2006/relationships/hyperlink" Target="https://www.digikey.com/en/products/detail/murata-electronics/ZRB18AR61E106ME01L/5321083" TargetMode="External"/><Relationship Id="rId33" Type="http://schemas.openxmlformats.org/officeDocument/2006/relationships/hyperlink" Target="https://www.utmel.com/productdetail/texasinstruments-tps563201ddcr-7743423" TargetMode="External"/><Relationship Id="rId38" Type="http://schemas.openxmlformats.org/officeDocument/2006/relationships/hyperlink" Target="digikey.com\en\products\result?s=N4IgTCBcDaIMIEEAKACOBRASigLAOgHYBVAMRTAFYA1FADQuwAYA2RgZhAF0BfIA" TargetMode="External"/><Relationship Id="rId46" Type="http://schemas.openxmlformats.org/officeDocument/2006/relationships/hyperlink" Target="https://sg.element14.com/renesas/ps2801c-1-f3-a/optocoupler-transistor-2-5kv-ssop/dp/3213713?CMP=GRHB-OCTOPART" TargetMode="External"/><Relationship Id="rId20" Type="http://schemas.openxmlformats.org/officeDocument/2006/relationships/hyperlink" Target="https://www.digikey.com/en/products/detail/phoenix-contact/1729225/260625" TargetMode="External"/><Relationship Id="rId41" Type="http://schemas.openxmlformats.org/officeDocument/2006/relationships/hyperlink" Target="https://www.digikey.com/en/products/detail/nexperia-usa-inc/PMV74EPER/104964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tabSelected="1" topLeftCell="H40" zoomScaleNormal="100" workbookViewId="0">
      <selection activeCell="P52" sqref="P52"/>
    </sheetView>
  </sheetViews>
  <sheetFormatPr defaultRowHeight="15" x14ac:dyDescent="0.25"/>
  <cols>
    <col min="1" max="1" width="6.7109375" bestFit="1" customWidth="1"/>
    <col min="2" max="2" width="13.42578125" bestFit="1" customWidth="1"/>
    <col min="3" max="3" width="63.140625" bestFit="1" customWidth="1"/>
    <col min="4" max="4" width="27.42578125" customWidth="1"/>
    <col min="5" max="5" width="20.5703125" bestFit="1" customWidth="1"/>
    <col min="6" max="6" width="28.42578125" bestFit="1" customWidth="1"/>
    <col min="7" max="7" width="17.42578125" bestFit="1" customWidth="1"/>
    <col min="8" max="8" width="21.7109375" bestFit="1" customWidth="1"/>
    <col min="9" max="9" width="8.42578125" bestFit="1" customWidth="1"/>
    <col min="10" max="10" width="21.85546875" bestFit="1" customWidth="1"/>
    <col min="11" max="11" width="12.5703125" bestFit="1" customWidth="1"/>
    <col min="12" max="12" width="16.140625" bestFit="1" customWidth="1"/>
    <col min="13" max="13" width="12.42578125" bestFit="1" customWidth="1"/>
    <col min="14" max="14" width="13.42578125" bestFit="1" customWidth="1"/>
    <col min="15" max="15" width="21.85546875" bestFit="1" customWidth="1"/>
    <col min="16" max="16" width="15.140625" bestFit="1" customWidth="1"/>
    <col min="17" max="17" width="32.28515625" bestFit="1" customWidth="1"/>
  </cols>
  <sheetData>
    <row r="1" spans="1:17" ht="16.5" thickBot="1" x14ac:dyDescent="0.3">
      <c r="A1" s="120" t="s">
        <v>252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</row>
    <row r="2" spans="1:17" ht="16.5" thickBot="1" x14ac:dyDescent="0.3">
      <c r="A2" s="1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4" t="s">
        <v>11</v>
      </c>
      <c r="M2" s="5" t="s">
        <v>12</v>
      </c>
      <c r="N2" s="5" t="s">
        <v>13</v>
      </c>
      <c r="O2" s="5" t="s">
        <v>14</v>
      </c>
      <c r="P2" s="3" t="s">
        <v>15</v>
      </c>
      <c r="Q2" s="2" t="s">
        <v>16</v>
      </c>
    </row>
    <row r="3" spans="1:17" ht="16.5" thickBot="1" x14ac:dyDescent="0.3">
      <c r="A3" s="1">
        <v>1</v>
      </c>
      <c r="B3" s="117" t="s">
        <v>17</v>
      </c>
      <c r="C3" s="6" t="s">
        <v>18</v>
      </c>
      <c r="D3" s="7" t="s">
        <v>19</v>
      </c>
      <c r="E3" s="7" t="s">
        <v>20</v>
      </c>
      <c r="F3" s="7" t="s">
        <v>21</v>
      </c>
      <c r="G3" s="7" t="s">
        <v>22</v>
      </c>
      <c r="H3" s="69" t="s">
        <v>240</v>
      </c>
      <c r="I3" s="7" t="s">
        <v>23</v>
      </c>
      <c r="J3" s="9">
        <v>4</v>
      </c>
      <c r="K3" s="8">
        <f>J3*80*1.1</f>
        <v>352</v>
      </c>
      <c r="L3" s="41" t="s">
        <v>225</v>
      </c>
      <c r="M3" s="55">
        <v>0.37</v>
      </c>
      <c r="N3" s="10">
        <f>M3*J3</f>
        <v>1.48</v>
      </c>
      <c r="O3" s="55">
        <v>0.15479999999999999</v>
      </c>
      <c r="P3" s="10">
        <f>O3*K3</f>
        <v>54.489599999999996</v>
      </c>
      <c r="Q3" s="11"/>
    </row>
    <row r="4" spans="1:17" ht="16.5" thickBot="1" x14ac:dyDescent="0.3">
      <c r="A4" s="1">
        <v>2</v>
      </c>
      <c r="B4" s="118"/>
      <c r="C4" s="12" t="s">
        <v>30</v>
      </c>
      <c r="D4" s="13" t="s">
        <v>31</v>
      </c>
      <c r="E4" s="13" t="s">
        <v>239</v>
      </c>
      <c r="F4" s="13" t="s">
        <v>32</v>
      </c>
      <c r="G4" s="13" t="s">
        <v>33</v>
      </c>
      <c r="H4" s="70" t="s">
        <v>253</v>
      </c>
      <c r="I4" s="13" t="s">
        <v>34</v>
      </c>
      <c r="J4" s="15">
        <v>1</v>
      </c>
      <c r="K4" s="16">
        <f>J4*80*1.1</f>
        <v>88</v>
      </c>
      <c r="L4" s="39" t="s">
        <v>225</v>
      </c>
      <c r="M4" s="56">
        <v>1.69</v>
      </c>
      <c r="N4" s="50">
        <f t="shared" ref="N4:N48" si="0">M4*J4</f>
        <v>1.69</v>
      </c>
      <c r="O4" s="56">
        <v>1.1566000000000001</v>
      </c>
      <c r="P4" s="50">
        <f t="shared" ref="P4:P48" si="1">O4*K4</f>
        <v>101.7808</v>
      </c>
      <c r="Q4" s="17"/>
    </row>
    <row r="5" spans="1:17" ht="16.5" thickBot="1" x14ac:dyDescent="0.3">
      <c r="A5" s="1">
        <v>3</v>
      </c>
      <c r="B5" s="118"/>
      <c r="C5" s="12" t="s">
        <v>35</v>
      </c>
      <c r="D5" s="13" t="s">
        <v>36</v>
      </c>
      <c r="E5" s="13" t="s">
        <v>20</v>
      </c>
      <c r="F5" s="13" t="s">
        <v>37</v>
      </c>
      <c r="G5" s="13" t="s">
        <v>28</v>
      </c>
      <c r="H5" s="13" t="s">
        <v>240</v>
      </c>
      <c r="I5" s="13" t="s">
        <v>38</v>
      </c>
      <c r="J5" s="15">
        <v>1</v>
      </c>
      <c r="K5" s="16">
        <f t="shared" ref="K5:K15" si="2">J5*80*1.1</f>
        <v>88</v>
      </c>
      <c r="L5" s="39" t="s">
        <v>225</v>
      </c>
      <c r="M5" s="56">
        <v>0.54</v>
      </c>
      <c r="N5" s="50">
        <f t="shared" si="0"/>
        <v>0.54</v>
      </c>
      <c r="O5" s="56">
        <v>0.28820000000000001</v>
      </c>
      <c r="P5" s="50">
        <f t="shared" si="1"/>
        <v>25.361600000000003</v>
      </c>
      <c r="Q5" s="17"/>
    </row>
    <row r="6" spans="1:17" ht="16.5" thickBot="1" x14ac:dyDescent="0.3">
      <c r="A6" s="1">
        <v>4</v>
      </c>
      <c r="B6" s="118"/>
      <c r="C6" s="12" t="s">
        <v>39</v>
      </c>
      <c r="D6" s="13" t="s">
        <v>40</v>
      </c>
      <c r="E6" s="13" t="s">
        <v>41</v>
      </c>
      <c r="F6" s="13" t="s">
        <v>42</v>
      </c>
      <c r="G6" s="13" t="s">
        <v>28</v>
      </c>
      <c r="H6" s="70" t="s">
        <v>240</v>
      </c>
      <c r="I6" s="13" t="s">
        <v>43</v>
      </c>
      <c r="J6" s="15">
        <v>1</v>
      </c>
      <c r="K6" s="16">
        <f t="shared" si="2"/>
        <v>88</v>
      </c>
      <c r="L6" s="39" t="s">
        <v>225</v>
      </c>
      <c r="M6" s="56">
        <v>0.1</v>
      </c>
      <c r="N6" s="50">
        <f t="shared" si="0"/>
        <v>0.1</v>
      </c>
      <c r="O6" s="56">
        <v>3.7199999999999997E-2</v>
      </c>
      <c r="P6" s="50">
        <f t="shared" si="1"/>
        <v>3.2735999999999996</v>
      </c>
      <c r="Q6" s="17"/>
    </row>
    <row r="7" spans="1:17" ht="16.5" thickBot="1" x14ac:dyDescent="0.3">
      <c r="A7" s="1">
        <v>5</v>
      </c>
      <c r="B7" s="118"/>
      <c r="C7" s="12" t="s">
        <v>44</v>
      </c>
      <c r="D7" s="13" t="s">
        <v>45</v>
      </c>
      <c r="E7" s="13" t="s">
        <v>46</v>
      </c>
      <c r="F7" s="13" t="s">
        <v>47</v>
      </c>
      <c r="G7" s="13" t="s">
        <v>28</v>
      </c>
      <c r="H7" s="13" t="s">
        <v>227</v>
      </c>
      <c r="I7" s="13" t="s">
        <v>48</v>
      </c>
      <c r="J7" s="15">
        <v>2</v>
      </c>
      <c r="K7" s="16">
        <f t="shared" si="2"/>
        <v>176</v>
      </c>
      <c r="L7" s="39" t="s">
        <v>225</v>
      </c>
      <c r="M7" s="56">
        <v>1.0900000000000001</v>
      </c>
      <c r="N7" s="50">
        <f t="shared" si="0"/>
        <v>2.1800000000000002</v>
      </c>
      <c r="O7" s="56">
        <v>0.64690000000000003</v>
      </c>
      <c r="P7" s="50">
        <f t="shared" si="1"/>
        <v>113.8544</v>
      </c>
      <c r="Q7" s="17"/>
    </row>
    <row r="8" spans="1:17" ht="16.5" thickBot="1" x14ac:dyDescent="0.3">
      <c r="A8" s="1">
        <v>6</v>
      </c>
      <c r="B8" s="118"/>
      <c r="C8" s="12" t="s">
        <v>49</v>
      </c>
      <c r="D8" s="13" t="s">
        <v>50</v>
      </c>
      <c r="E8" s="13" t="s">
        <v>51</v>
      </c>
      <c r="F8" s="13" t="s">
        <v>52</v>
      </c>
      <c r="G8" s="13" t="s">
        <v>22</v>
      </c>
      <c r="H8" s="16" t="s">
        <v>241</v>
      </c>
      <c r="I8" s="13" t="s">
        <v>53</v>
      </c>
      <c r="J8" s="15">
        <v>2</v>
      </c>
      <c r="K8" s="16">
        <f t="shared" si="2"/>
        <v>176</v>
      </c>
      <c r="L8" s="39" t="s">
        <v>225</v>
      </c>
      <c r="M8" s="56">
        <v>0.38</v>
      </c>
      <c r="N8" s="50">
        <f t="shared" si="0"/>
        <v>0.76</v>
      </c>
      <c r="O8" s="56">
        <v>0.1474</v>
      </c>
      <c r="P8" s="50">
        <f t="shared" si="1"/>
        <v>25.942399999999999</v>
      </c>
      <c r="Q8" s="17"/>
    </row>
    <row r="9" spans="1:17" ht="16.5" thickBot="1" x14ac:dyDescent="0.3">
      <c r="A9" s="1">
        <v>7</v>
      </c>
      <c r="B9" s="118"/>
      <c r="C9" s="12" t="s">
        <v>54</v>
      </c>
      <c r="D9" s="13" t="s">
        <v>55</v>
      </c>
      <c r="E9" s="13" t="s">
        <v>20</v>
      </c>
      <c r="F9" s="18" t="s">
        <v>56</v>
      </c>
      <c r="G9" s="13" t="s">
        <v>28</v>
      </c>
      <c r="H9" s="13" t="s">
        <v>228</v>
      </c>
      <c r="I9" s="13" t="s">
        <v>57</v>
      </c>
      <c r="J9" s="15">
        <v>2</v>
      </c>
      <c r="K9" s="16">
        <f t="shared" si="2"/>
        <v>176</v>
      </c>
      <c r="L9" s="39" t="s">
        <v>225</v>
      </c>
      <c r="M9" s="56">
        <v>0.5</v>
      </c>
      <c r="N9" s="50">
        <f t="shared" si="0"/>
        <v>1</v>
      </c>
      <c r="O9" s="56">
        <v>0.23219999999999999</v>
      </c>
      <c r="P9" s="50">
        <f t="shared" si="1"/>
        <v>40.867199999999997</v>
      </c>
      <c r="Q9" s="17"/>
    </row>
    <row r="10" spans="1:17" ht="16.5" thickBot="1" x14ac:dyDescent="0.3">
      <c r="A10" s="1">
        <v>8</v>
      </c>
      <c r="B10" s="118"/>
      <c r="C10" s="12" t="s">
        <v>58</v>
      </c>
      <c r="D10" s="13" t="s">
        <v>59</v>
      </c>
      <c r="E10" s="13" t="s">
        <v>51</v>
      </c>
      <c r="F10" s="13" t="s">
        <v>60</v>
      </c>
      <c r="G10" s="13" t="s">
        <v>61</v>
      </c>
      <c r="H10" s="13" t="s">
        <v>229</v>
      </c>
      <c r="I10" s="13" t="s">
        <v>23</v>
      </c>
      <c r="J10" s="15">
        <v>2</v>
      </c>
      <c r="K10" s="16">
        <f t="shared" si="2"/>
        <v>176</v>
      </c>
      <c r="L10" s="39" t="s">
        <v>225</v>
      </c>
      <c r="M10" s="56">
        <v>0.5</v>
      </c>
      <c r="N10" s="50">
        <f t="shared" si="0"/>
        <v>1</v>
      </c>
      <c r="O10" s="56">
        <v>0.23469999999999999</v>
      </c>
      <c r="P10" s="50">
        <f t="shared" si="1"/>
        <v>41.307200000000002</v>
      </c>
      <c r="Q10" s="17"/>
    </row>
    <row r="11" spans="1:17" ht="16.5" thickBot="1" x14ac:dyDescent="0.3">
      <c r="A11" s="1">
        <v>9</v>
      </c>
      <c r="B11" s="118"/>
      <c r="C11" s="12" t="s">
        <v>26</v>
      </c>
      <c r="D11" s="13" t="s">
        <v>242</v>
      </c>
      <c r="E11" s="13" t="s">
        <v>27</v>
      </c>
      <c r="F11" s="13" t="s">
        <v>62</v>
      </c>
      <c r="G11" s="13" t="s">
        <v>24</v>
      </c>
      <c r="H11" s="13" t="s">
        <v>226</v>
      </c>
      <c r="I11" s="13" t="s">
        <v>29</v>
      </c>
      <c r="J11" s="15">
        <v>4</v>
      </c>
      <c r="K11" s="16">
        <f t="shared" si="2"/>
        <v>352</v>
      </c>
      <c r="L11" s="39" t="s">
        <v>225</v>
      </c>
      <c r="M11" s="56">
        <v>0.57999999999999996</v>
      </c>
      <c r="N11" s="50">
        <f t="shared" si="0"/>
        <v>2.3199999999999998</v>
      </c>
      <c r="O11" s="56">
        <v>0.26919999999999999</v>
      </c>
      <c r="P11" s="50">
        <f t="shared" si="1"/>
        <v>94.758399999999995</v>
      </c>
      <c r="Q11" s="17"/>
    </row>
    <row r="12" spans="1:17" ht="39" thickBot="1" x14ac:dyDescent="0.3">
      <c r="A12" s="1">
        <v>10</v>
      </c>
      <c r="B12" s="118"/>
      <c r="C12" s="76" t="s">
        <v>63</v>
      </c>
      <c r="D12" s="66" t="s">
        <v>243</v>
      </c>
      <c r="E12" s="13" t="s">
        <v>20</v>
      </c>
      <c r="F12" s="71" t="s">
        <v>64</v>
      </c>
      <c r="G12" s="71" t="s">
        <v>24</v>
      </c>
      <c r="H12" s="77" t="s">
        <v>240</v>
      </c>
      <c r="I12" s="71" t="s">
        <v>25</v>
      </c>
      <c r="J12" s="14">
        <v>14</v>
      </c>
      <c r="K12" s="16">
        <f t="shared" si="2"/>
        <v>1232</v>
      </c>
      <c r="L12" s="72" t="s">
        <v>225</v>
      </c>
      <c r="M12" s="73">
        <v>0.03</v>
      </c>
      <c r="N12" s="74">
        <f t="shared" si="0"/>
        <v>0.42</v>
      </c>
      <c r="O12" s="73">
        <v>7.5900000000000004E-3</v>
      </c>
      <c r="P12" s="74">
        <f t="shared" si="1"/>
        <v>9.3508800000000001</v>
      </c>
      <c r="Q12" s="75"/>
    </row>
    <row r="13" spans="1:17" ht="16.5" thickBot="1" x14ac:dyDescent="0.3">
      <c r="A13" s="1">
        <v>11</v>
      </c>
      <c r="B13" s="118"/>
      <c r="C13" s="12" t="s">
        <v>65</v>
      </c>
      <c r="D13" s="13" t="s">
        <v>66</v>
      </c>
      <c r="E13" s="13" t="s">
        <v>20</v>
      </c>
      <c r="F13" s="13" t="s">
        <v>67</v>
      </c>
      <c r="G13" s="13" t="s">
        <v>28</v>
      </c>
      <c r="H13" s="16" t="s">
        <v>230</v>
      </c>
      <c r="I13" s="13" t="s">
        <v>68</v>
      </c>
      <c r="J13" s="15">
        <v>1</v>
      </c>
      <c r="K13" s="16">
        <f t="shared" si="2"/>
        <v>88</v>
      </c>
      <c r="L13" s="39" t="s">
        <v>225</v>
      </c>
      <c r="M13" s="56">
        <v>0.3</v>
      </c>
      <c r="N13" s="50">
        <f t="shared" si="0"/>
        <v>0.3</v>
      </c>
      <c r="O13" s="56">
        <v>0.1236</v>
      </c>
      <c r="P13" s="50">
        <f t="shared" si="1"/>
        <v>10.876799999999999</v>
      </c>
      <c r="Q13" s="17"/>
    </row>
    <row r="14" spans="1:17" ht="16.5" thickBot="1" x14ac:dyDescent="0.3">
      <c r="A14" s="1">
        <v>12</v>
      </c>
      <c r="B14" s="118"/>
      <c r="C14" s="12" t="s">
        <v>69</v>
      </c>
      <c r="D14" s="13" t="s">
        <v>70</v>
      </c>
      <c r="E14" s="13" t="s">
        <v>20</v>
      </c>
      <c r="F14" s="13" t="s">
        <v>71</v>
      </c>
      <c r="G14" s="13" t="s">
        <v>24</v>
      </c>
      <c r="H14" s="16"/>
      <c r="I14" s="13" t="s">
        <v>72</v>
      </c>
      <c r="J14" s="15">
        <v>1</v>
      </c>
      <c r="K14" s="16">
        <f t="shared" si="2"/>
        <v>88</v>
      </c>
      <c r="L14" s="39" t="s">
        <v>225</v>
      </c>
      <c r="M14" s="56">
        <v>0.1</v>
      </c>
      <c r="N14" s="50">
        <f t="shared" si="0"/>
        <v>0.1</v>
      </c>
      <c r="O14" s="56">
        <v>1.0200000000000001E-2</v>
      </c>
      <c r="P14" s="50">
        <f t="shared" si="1"/>
        <v>0.89760000000000006</v>
      </c>
      <c r="Q14" s="17"/>
    </row>
    <row r="15" spans="1:17" ht="16.5" thickBot="1" x14ac:dyDescent="0.3">
      <c r="A15" s="1">
        <v>13</v>
      </c>
      <c r="B15" s="119"/>
      <c r="C15" s="19" t="s">
        <v>73</v>
      </c>
      <c r="D15" s="20" t="s">
        <v>74</v>
      </c>
      <c r="E15" s="20" t="s">
        <v>41</v>
      </c>
      <c r="F15" s="20" t="s">
        <v>75</v>
      </c>
      <c r="G15" s="20" t="s">
        <v>28</v>
      </c>
      <c r="H15" s="22" t="s">
        <v>244</v>
      </c>
      <c r="I15" s="20" t="s">
        <v>76</v>
      </c>
      <c r="J15" s="21">
        <v>2</v>
      </c>
      <c r="K15" s="16">
        <f t="shared" si="2"/>
        <v>176</v>
      </c>
      <c r="L15" s="40" t="s">
        <v>225</v>
      </c>
      <c r="M15" s="57">
        <v>0.1</v>
      </c>
      <c r="N15" s="51">
        <f t="shared" si="0"/>
        <v>0.2</v>
      </c>
      <c r="O15" s="57">
        <v>1.2200000000000001E-2</v>
      </c>
      <c r="P15" s="51">
        <f t="shared" si="1"/>
        <v>2.1472000000000002</v>
      </c>
      <c r="Q15" s="23"/>
    </row>
    <row r="16" spans="1:17" ht="16.5" thickBot="1" x14ac:dyDescent="0.3">
      <c r="A16" s="1">
        <v>14</v>
      </c>
      <c r="B16" s="113" t="s">
        <v>77</v>
      </c>
      <c r="C16" s="6" t="s">
        <v>78</v>
      </c>
      <c r="D16" s="7" t="s">
        <v>79</v>
      </c>
      <c r="E16" s="7" t="s">
        <v>239</v>
      </c>
      <c r="F16" s="7" t="s">
        <v>80</v>
      </c>
      <c r="G16" s="7" t="s">
        <v>81</v>
      </c>
      <c r="H16" s="8" t="s">
        <v>231</v>
      </c>
      <c r="I16" s="7" t="s">
        <v>240</v>
      </c>
      <c r="J16" s="9">
        <v>2</v>
      </c>
      <c r="K16" s="8">
        <f>J16*80*1.1</f>
        <v>176</v>
      </c>
      <c r="L16" s="41" t="s">
        <v>225</v>
      </c>
      <c r="M16" s="55">
        <v>0.42</v>
      </c>
      <c r="N16" s="52">
        <f t="shared" si="0"/>
        <v>0.84</v>
      </c>
      <c r="O16" s="55">
        <v>0.1948</v>
      </c>
      <c r="P16" s="52">
        <f t="shared" si="1"/>
        <v>34.284799999999997</v>
      </c>
      <c r="Q16" s="11"/>
    </row>
    <row r="17" spans="1:17" ht="64.5" thickBot="1" x14ac:dyDescent="0.3">
      <c r="A17" s="1">
        <v>15</v>
      </c>
      <c r="B17" s="114"/>
      <c r="C17" s="78" t="s">
        <v>82</v>
      </c>
      <c r="D17" s="67" t="s">
        <v>83</v>
      </c>
      <c r="E17" s="20" t="s">
        <v>239</v>
      </c>
      <c r="F17" s="20" t="s">
        <v>84</v>
      </c>
      <c r="G17" s="20" t="s">
        <v>85</v>
      </c>
      <c r="H17" s="22" t="s">
        <v>245</v>
      </c>
      <c r="I17" s="20" t="s">
        <v>240</v>
      </c>
      <c r="J17" s="21">
        <v>22</v>
      </c>
      <c r="K17" s="22">
        <f>J17*80*1.1</f>
        <v>1936.0000000000002</v>
      </c>
      <c r="L17" s="40" t="s">
        <v>225</v>
      </c>
      <c r="M17" s="57">
        <v>0.249</v>
      </c>
      <c r="N17" s="51">
        <f t="shared" si="0"/>
        <v>5.4779999999999998</v>
      </c>
      <c r="O17" s="57">
        <v>8.2890000000000005E-2</v>
      </c>
      <c r="P17" s="51">
        <f t="shared" si="1"/>
        <v>160.47504000000004</v>
      </c>
      <c r="Q17" s="23"/>
    </row>
    <row r="18" spans="1:17" ht="16.5" thickBot="1" x14ac:dyDescent="0.3">
      <c r="A18" s="1">
        <v>16</v>
      </c>
      <c r="B18" s="113" t="s">
        <v>86</v>
      </c>
      <c r="C18" s="6" t="s">
        <v>87</v>
      </c>
      <c r="D18" s="7" t="s">
        <v>88</v>
      </c>
      <c r="E18" s="7" t="s">
        <v>239</v>
      </c>
      <c r="F18" s="7" t="s">
        <v>89</v>
      </c>
      <c r="G18" s="7" t="s">
        <v>90</v>
      </c>
      <c r="H18" s="7" t="s">
        <v>238</v>
      </c>
      <c r="I18" s="7" t="s">
        <v>240</v>
      </c>
      <c r="J18" s="9">
        <v>1</v>
      </c>
      <c r="K18" s="8">
        <f>J18*80*1.1</f>
        <v>88</v>
      </c>
      <c r="L18" s="41" t="s">
        <v>225</v>
      </c>
      <c r="M18" s="55">
        <v>0.46</v>
      </c>
      <c r="N18" s="52">
        <f t="shared" si="0"/>
        <v>0.46</v>
      </c>
      <c r="O18" s="55">
        <v>0.33839999999999998</v>
      </c>
      <c r="P18" s="52">
        <f t="shared" si="1"/>
        <v>29.779199999999999</v>
      </c>
      <c r="Q18" s="11"/>
    </row>
    <row r="19" spans="1:17" ht="102.75" thickBot="1" x14ac:dyDescent="0.3">
      <c r="A19" s="1">
        <v>17</v>
      </c>
      <c r="B19" s="111"/>
      <c r="C19" s="76" t="s">
        <v>91</v>
      </c>
      <c r="D19" s="66" t="s">
        <v>92</v>
      </c>
      <c r="E19" s="13" t="s">
        <v>239</v>
      </c>
      <c r="F19" s="13" t="s">
        <v>93</v>
      </c>
      <c r="G19" s="13" t="s">
        <v>94</v>
      </c>
      <c r="H19" s="13" t="s">
        <v>232</v>
      </c>
      <c r="I19" s="13" t="s">
        <v>240</v>
      </c>
      <c r="J19" s="15">
        <v>45</v>
      </c>
      <c r="K19" s="16">
        <f>J19*80*1.1</f>
        <v>3960.0000000000005</v>
      </c>
      <c r="L19" s="39" t="s">
        <v>254</v>
      </c>
      <c r="M19" s="56">
        <v>0.27100000000000002</v>
      </c>
      <c r="N19" s="50">
        <f t="shared" si="0"/>
        <v>12.195</v>
      </c>
      <c r="O19" s="56">
        <v>0.11600000000000001</v>
      </c>
      <c r="P19" s="50">
        <f t="shared" si="1"/>
        <v>459.36000000000007</v>
      </c>
      <c r="Q19" s="24"/>
    </row>
    <row r="20" spans="1:17" ht="51.75" thickBot="1" x14ac:dyDescent="0.3">
      <c r="A20" s="1">
        <v>18</v>
      </c>
      <c r="B20" s="114"/>
      <c r="C20" s="19" t="s">
        <v>95</v>
      </c>
      <c r="D20" s="67" t="s">
        <v>96</v>
      </c>
      <c r="E20" s="20" t="s">
        <v>239</v>
      </c>
      <c r="F20" s="20" t="s">
        <v>97</v>
      </c>
      <c r="G20" s="20" t="s">
        <v>98</v>
      </c>
      <c r="H20" s="20" t="s">
        <v>246</v>
      </c>
      <c r="I20" s="20" t="s">
        <v>240</v>
      </c>
      <c r="J20" s="21">
        <v>20</v>
      </c>
      <c r="K20" s="16">
        <f>J20*80*1.1</f>
        <v>1760.0000000000002</v>
      </c>
      <c r="L20" s="40" t="s">
        <v>225</v>
      </c>
      <c r="M20" s="57">
        <v>0.36599999999999999</v>
      </c>
      <c r="N20" s="51">
        <f t="shared" si="0"/>
        <v>7.32</v>
      </c>
      <c r="O20" s="57">
        <v>0.10525</v>
      </c>
      <c r="P20" s="51">
        <f t="shared" si="1"/>
        <v>185.24</v>
      </c>
      <c r="Q20" s="23"/>
    </row>
    <row r="21" spans="1:17" ht="16.5" thickBot="1" x14ac:dyDescent="0.3">
      <c r="A21" s="1">
        <v>19</v>
      </c>
      <c r="B21" s="113" t="s">
        <v>99</v>
      </c>
      <c r="C21" s="6" t="s">
        <v>100</v>
      </c>
      <c r="D21" s="7" t="s">
        <v>101</v>
      </c>
      <c r="E21" s="7" t="s">
        <v>239</v>
      </c>
      <c r="F21" s="7" t="s">
        <v>102</v>
      </c>
      <c r="G21" s="7" t="s">
        <v>103</v>
      </c>
      <c r="H21" s="79" t="s">
        <v>240</v>
      </c>
      <c r="I21" s="79" t="s">
        <v>240</v>
      </c>
      <c r="J21" s="9">
        <v>1</v>
      </c>
      <c r="K21" s="8">
        <f>J21*80*1.1</f>
        <v>88</v>
      </c>
      <c r="L21" s="41" t="s">
        <v>247</v>
      </c>
      <c r="M21" s="55">
        <v>0.18</v>
      </c>
      <c r="N21" s="52">
        <f t="shared" si="0"/>
        <v>0.18</v>
      </c>
      <c r="O21" s="55">
        <v>0.10009999999999999</v>
      </c>
      <c r="P21" s="52">
        <f t="shared" si="1"/>
        <v>8.8087999999999997</v>
      </c>
      <c r="Q21" s="46"/>
    </row>
    <row r="22" spans="1:17" ht="16.5" thickBot="1" x14ac:dyDescent="0.3">
      <c r="A22" s="1">
        <v>20</v>
      </c>
      <c r="B22" s="111"/>
      <c r="C22" s="122" t="s">
        <v>104</v>
      </c>
      <c r="D22" s="71" t="s">
        <v>105</v>
      </c>
      <c r="E22" s="123" t="s">
        <v>239</v>
      </c>
      <c r="F22" s="71" t="s">
        <v>106</v>
      </c>
      <c r="G22" s="71" t="s">
        <v>107</v>
      </c>
      <c r="H22" s="71" t="s">
        <v>240</v>
      </c>
      <c r="I22" s="71" t="s">
        <v>240</v>
      </c>
      <c r="J22" s="124">
        <v>1</v>
      </c>
      <c r="K22" s="125">
        <f>J22*80*1.1</f>
        <v>88</v>
      </c>
      <c r="L22" s="72" t="s">
        <v>237</v>
      </c>
      <c r="M22" s="73">
        <v>0.2545</v>
      </c>
      <c r="N22" s="73">
        <f t="shared" si="0"/>
        <v>0.2545</v>
      </c>
      <c r="O22" s="73">
        <v>0.18190000000000001</v>
      </c>
      <c r="P22" s="73">
        <f t="shared" si="1"/>
        <v>16.007200000000001</v>
      </c>
      <c r="Q22" s="126"/>
    </row>
    <row r="23" spans="1:17" ht="16.5" thickBot="1" x14ac:dyDescent="0.3">
      <c r="A23" s="1">
        <v>21</v>
      </c>
      <c r="B23" s="114"/>
      <c r="C23" s="19" t="s">
        <v>108</v>
      </c>
      <c r="D23" s="64" t="s">
        <v>109</v>
      </c>
      <c r="E23" s="64" t="s">
        <v>239</v>
      </c>
      <c r="F23" s="20" t="s">
        <v>110</v>
      </c>
      <c r="G23" s="20" t="s">
        <v>111</v>
      </c>
      <c r="H23" s="64" t="s">
        <v>240</v>
      </c>
      <c r="I23" s="64" t="s">
        <v>240</v>
      </c>
      <c r="J23" s="21">
        <v>1</v>
      </c>
      <c r="K23" s="96">
        <f>J23*80*1.1</f>
        <v>88</v>
      </c>
      <c r="L23" s="40" t="s">
        <v>248</v>
      </c>
      <c r="M23" s="57">
        <v>1.92</v>
      </c>
      <c r="N23" s="51">
        <f t="shared" si="0"/>
        <v>1.92</v>
      </c>
      <c r="O23" s="57">
        <v>1.44</v>
      </c>
      <c r="P23" s="51">
        <f t="shared" si="1"/>
        <v>126.72</v>
      </c>
      <c r="Q23" s="23"/>
    </row>
    <row r="24" spans="1:17" ht="16.5" thickBot="1" x14ac:dyDescent="0.3">
      <c r="A24" s="1">
        <v>22</v>
      </c>
      <c r="B24" s="108" t="s">
        <v>112</v>
      </c>
      <c r="C24" s="25" t="s">
        <v>113</v>
      </c>
      <c r="D24" s="26" t="s">
        <v>114</v>
      </c>
      <c r="E24" s="26" t="s">
        <v>239</v>
      </c>
      <c r="F24" s="26" t="s">
        <v>115</v>
      </c>
      <c r="G24" s="26" t="s">
        <v>116</v>
      </c>
      <c r="H24" s="26" t="s">
        <v>240</v>
      </c>
      <c r="I24" s="26" t="s">
        <v>240</v>
      </c>
      <c r="J24" s="27">
        <v>1</v>
      </c>
      <c r="K24" s="28">
        <f>J24*80*1.1</f>
        <v>88</v>
      </c>
      <c r="L24" s="47" t="s">
        <v>225</v>
      </c>
      <c r="M24" s="59">
        <v>0.54</v>
      </c>
      <c r="N24" s="53">
        <f t="shared" si="0"/>
        <v>0.54</v>
      </c>
      <c r="O24" s="59">
        <v>0.42399999999999999</v>
      </c>
      <c r="P24" s="53">
        <f t="shared" si="1"/>
        <v>37.311999999999998</v>
      </c>
      <c r="Q24" s="29"/>
    </row>
    <row r="25" spans="1:17" ht="16.5" thickBot="1" x14ac:dyDescent="0.3">
      <c r="A25" s="1">
        <v>23</v>
      </c>
      <c r="B25" s="110" t="s">
        <v>117</v>
      </c>
      <c r="C25" s="99" t="s">
        <v>118</v>
      </c>
      <c r="D25" s="65" t="s">
        <v>119</v>
      </c>
      <c r="E25" s="65" t="s">
        <v>239</v>
      </c>
      <c r="F25" s="65" t="s">
        <v>120</v>
      </c>
      <c r="G25" s="65" t="s">
        <v>121</v>
      </c>
      <c r="H25" s="65" t="s">
        <v>240</v>
      </c>
      <c r="I25" s="65" t="s">
        <v>240</v>
      </c>
      <c r="J25" s="101">
        <v>1</v>
      </c>
      <c r="K25" s="102">
        <f>J25*80*1.1</f>
        <v>88</v>
      </c>
      <c r="L25" s="103" t="s">
        <v>247</v>
      </c>
      <c r="M25" s="104">
        <v>0.9</v>
      </c>
      <c r="N25" s="105">
        <f t="shared" si="0"/>
        <v>0.9</v>
      </c>
      <c r="O25" s="104">
        <v>0.7823</v>
      </c>
      <c r="P25" s="105">
        <f t="shared" si="1"/>
        <v>68.842399999999998</v>
      </c>
      <c r="Q25" s="106"/>
    </row>
    <row r="26" spans="1:17" ht="16.5" thickBot="1" x14ac:dyDescent="0.3">
      <c r="A26" s="1">
        <v>24</v>
      </c>
      <c r="B26" s="112"/>
      <c r="C26" s="80" t="s">
        <v>122</v>
      </c>
      <c r="D26" s="81" t="s">
        <v>123</v>
      </c>
      <c r="E26" s="81" t="s">
        <v>239</v>
      </c>
      <c r="F26" s="81" t="s">
        <v>124</v>
      </c>
      <c r="G26" s="81" t="s">
        <v>125</v>
      </c>
      <c r="H26" s="82" t="s">
        <v>240</v>
      </c>
      <c r="I26" s="82" t="s">
        <v>240</v>
      </c>
      <c r="J26" s="83">
        <v>1</v>
      </c>
      <c r="K26" s="84">
        <f>J26*80*1.1</f>
        <v>88</v>
      </c>
      <c r="L26" s="85" t="s">
        <v>225</v>
      </c>
      <c r="M26" s="86">
        <v>0.48</v>
      </c>
      <c r="N26" s="87">
        <f t="shared" si="0"/>
        <v>0.48</v>
      </c>
      <c r="O26" s="86">
        <v>0.43840000000000001</v>
      </c>
      <c r="P26" s="87">
        <f t="shared" si="1"/>
        <v>38.5792</v>
      </c>
      <c r="Q26" s="88"/>
    </row>
    <row r="27" spans="1:17" ht="115.5" thickBot="1" x14ac:dyDescent="0.3">
      <c r="A27" s="1">
        <v>25</v>
      </c>
      <c r="B27" s="117" t="s">
        <v>126</v>
      </c>
      <c r="C27" s="128" t="s">
        <v>127</v>
      </c>
      <c r="D27" s="129" t="s">
        <v>255</v>
      </c>
      <c r="E27" s="130" t="s">
        <v>128</v>
      </c>
      <c r="F27" s="130" t="s">
        <v>129</v>
      </c>
      <c r="G27" s="130" t="s">
        <v>24</v>
      </c>
      <c r="H27" s="130" t="s">
        <v>240</v>
      </c>
      <c r="I27" s="130" t="s">
        <v>130</v>
      </c>
      <c r="J27" s="9">
        <f>46+6</f>
        <v>52</v>
      </c>
      <c r="K27" s="8">
        <f>J27*80*1.1</f>
        <v>4576</v>
      </c>
      <c r="L27" s="41" t="s">
        <v>225</v>
      </c>
      <c r="M27" s="55">
        <v>1.6E-2</v>
      </c>
      <c r="N27" s="127">
        <f>M27*J27</f>
        <v>0.83200000000000007</v>
      </c>
      <c r="O27" s="55">
        <v>2.5899999999999999E-3</v>
      </c>
      <c r="P27" s="52">
        <f t="shared" si="1"/>
        <v>11.851839999999999</v>
      </c>
      <c r="Q27" s="11"/>
    </row>
    <row r="28" spans="1:17" ht="16.5" thickBot="1" x14ac:dyDescent="0.3">
      <c r="A28" s="1">
        <v>26</v>
      </c>
      <c r="B28" s="118"/>
      <c r="C28" s="12" t="s">
        <v>131</v>
      </c>
      <c r="D28" s="13" t="s">
        <v>132</v>
      </c>
      <c r="E28" s="13" t="s">
        <v>128</v>
      </c>
      <c r="F28" s="13" t="s">
        <v>133</v>
      </c>
      <c r="G28" s="13" t="s">
        <v>24</v>
      </c>
      <c r="H28" s="65" t="s">
        <v>240</v>
      </c>
      <c r="I28" s="13" t="s">
        <v>134</v>
      </c>
      <c r="J28" s="15">
        <v>1</v>
      </c>
      <c r="K28" s="16">
        <f>J28*80*1.1</f>
        <v>88</v>
      </c>
      <c r="L28" s="39" t="s">
        <v>225</v>
      </c>
      <c r="M28" s="56">
        <v>0.1</v>
      </c>
      <c r="N28" s="50">
        <f t="shared" si="0"/>
        <v>0.1</v>
      </c>
      <c r="O28" s="56">
        <v>1.6E-2</v>
      </c>
      <c r="P28" s="50">
        <f t="shared" si="1"/>
        <v>1.4079999999999999</v>
      </c>
      <c r="Q28" s="17"/>
    </row>
    <row r="29" spans="1:17" ht="16.5" thickBot="1" x14ac:dyDescent="0.3">
      <c r="A29" s="1">
        <v>27</v>
      </c>
      <c r="B29" s="118"/>
      <c r="C29" s="12" t="s">
        <v>137</v>
      </c>
      <c r="D29" s="13" t="s">
        <v>138</v>
      </c>
      <c r="E29" s="13" t="s">
        <v>139</v>
      </c>
      <c r="F29" s="13" t="s">
        <v>140</v>
      </c>
      <c r="G29" s="13" t="s">
        <v>24</v>
      </c>
      <c r="H29" s="70" t="s">
        <v>240</v>
      </c>
      <c r="I29" s="13" t="s">
        <v>141</v>
      </c>
      <c r="J29" s="15">
        <v>5</v>
      </c>
      <c r="K29" s="16">
        <f t="shared" ref="K29:K40" si="3">J29*80*1.1</f>
        <v>440.00000000000006</v>
      </c>
      <c r="L29" s="39" t="s">
        <v>225</v>
      </c>
      <c r="M29" s="56">
        <v>0.1</v>
      </c>
      <c r="N29" s="50">
        <f t="shared" si="0"/>
        <v>0.5</v>
      </c>
      <c r="O29" s="56">
        <v>8.0000000000000002E-3</v>
      </c>
      <c r="P29" s="50">
        <f t="shared" si="1"/>
        <v>3.5200000000000005</v>
      </c>
      <c r="Q29" s="17"/>
    </row>
    <row r="30" spans="1:17" ht="16.5" thickBot="1" x14ac:dyDescent="0.3">
      <c r="A30" s="1">
        <v>28</v>
      </c>
      <c r="B30" s="118"/>
      <c r="C30" s="12" t="s">
        <v>142</v>
      </c>
      <c r="D30" s="13" t="s">
        <v>143</v>
      </c>
      <c r="E30" s="13" t="s">
        <v>128</v>
      </c>
      <c r="F30" s="13" t="s">
        <v>144</v>
      </c>
      <c r="G30" s="13" t="s">
        <v>24</v>
      </c>
      <c r="H30" s="70" t="s">
        <v>240</v>
      </c>
      <c r="I30" s="13" t="s">
        <v>145</v>
      </c>
      <c r="J30" s="15">
        <v>1</v>
      </c>
      <c r="K30" s="16">
        <f t="shared" si="3"/>
        <v>88</v>
      </c>
      <c r="L30" s="39" t="s">
        <v>225</v>
      </c>
      <c r="M30" s="56">
        <v>0.1</v>
      </c>
      <c r="N30" s="50">
        <f t="shared" si="0"/>
        <v>0.1</v>
      </c>
      <c r="O30" s="56">
        <v>1.6E-2</v>
      </c>
      <c r="P30" s="50">
        <f t="shared" si="1"/>
        <v>1.4079999999999999</v>
      </c>
      <c r="Q30" s="17"/>
    </row>
    <row r="31" spans="1:17" ht="16.5" thickBot="1" x14ac:dyDescent="0.3">
      <c r="A31" s="1">
        <v>29</v>
      </c>
      <c r="B31" s="118"/>
      <c r="C31" s="12" t="s">
        <v>146</v>
      </c>
      <c r="D31" s="13" t="s">
        <v>147</v>
      </c>
      <c r="E31" s="13" t="s">
        <v>128</v>
      </c>
      <c r="F31" s="13" t="s">
        <v>148</v>
      </c>
      <c r="G31" s="13" t="s">
        <v>24</v>
      </c>
      <c r="H31" s="70" t="s">
        <v>240</v>
      </c>
      <c r="I31" s="13" t="s">
        <v>149</v>
      </c>
      <c r="J31" s="15">
        <v>2</v>
      </c>
      <c r="K31" s="16">
        <f t="shared" si="3"/>
        <v>176</v>
      </c>
      <c r="L31" s="39" t="s">
        <v>225</v>
      </c>
      <c r="M31" s="56">
        <v>0.1</v>
      </c>
      <c r="N31" s="50">
        <f t="shared" si="0"/>
        <v>0.2</v>
      </c>
      <c r="O31" s="56">
        <v>6.6E-3</v>
      </c>
      <c r="P31" s="50">
        <f t="shared" si="1"/>
        <v>1.1616</v>
      </c>
      <c r="Q31" s="17"/>
    </row>
    <row r="32" spans="1:17" ht="16.5" thickBot="1" x14ac:dyDescent="0.3">
      <c r="A32" s="1">
        <v>30</v>
      </c>
      <c r="B32" s="118"/>
      <c r="C32" s="12" t="s">
        <v>150</v>
      </c>
      <c r="D32" s="13" t="s">
        <v>151</v>
      </c>
      <c r="E32" s="13" t="s">
        <v>128</v>
      </c>
      <c r="F32" s="13" t="s">
        <v>152</v>
      </c>
      <c r="G32" s="13" t="s">
        <v>24</v>
      </c>
      <c r="H32" s="70" t="s">
        <v>240</v>
      </c>
      <c r="I32" s="13" t="s">
        <v>153</v>
      </c>
      <c r="J32" s="15">
        <v>1</v>
      </c>
      <c r="K32" s="16">
        <f t="shared" si="3"/>
        <v>88</v>
      </c>
      <c r="L32" s="39" t="s">
        <v>225</v>
      </c>
      <c r="M32" s="56">
        <v>0.1</v>
      </c>
      <c r="N32" s="50">
        <f t="shared" si="0"/>
        <v>0.1</v>
      </c>
      <c r="O32" s="56">
        <v>1.6E-2</v>
      </c>
      <c r="P32" s="50">
        <f t="shared" si="1"/>
        <v>1.4079999999999999</v>
      </c>
      <c r="Q32" s="17"/>
    </row>
    <row r="33" spans="1:17" ht="16.5" thickBot="1" x14ac:dyDescent="0.3">
      <c r="A33" s="1">
        <v>31</v>
      </c>
      <c r="B33" s="118"/>
      <c r="C33" s="12" t="s">
        <v>154</v>
      </c>
      <c r="D33" s="13" t="s">
        <v>155</v>
      </c>
      <c r="E33" s="13" t="s">
        <v>128</v>
      </c>
      <c r="F33" s="13" t="s">
        <v>156</v>
      </c>
      <c r="G33" s="13" t="s">
        <v>24</v>
      </c>
      <c r="H33" s="70" t="s">
        <v>240</v>
      </c>
      <c r="I33" s="13" t="s">
        <v>157</v>
      </c>
      <c r="J33" s="15">
        <v>1</v>
      </c>
      <c r="K33" s="16">
        <f t="shared" si="3"/>
        <v>88</v>
      </c>
      <c r="L33" s="39" t="s">
        <v>225</v>
      </c>
      <c r="M33" s="56">
        <v>0.1</v>
      </c>
      <c r="N33" s="50">
        <f t="shared" si="0"/>
        <v>0.1</v>
      </c>
      <c r="O33" s="56">
        <v>1.6E-2</v>
      </c>
      <c r="P33" s="50">
        <f t="shared" si="1"/>
        <v>1.4079999999999999</v>
      </c>
      <c r="Q33" s="17"/>
    </row>
    <row r="34" spans="1:17" ht="16.5" thickBot="1" x14ac:dyDescent="0.3">
      <c r="A34" s="1">
        <v>32</v>
      </c>
      <c r="B34" s="118"/>
      <c r="C34" s="12" t="s">
        <v>158</v>
      </c>
      <c r="D34" s="13" t="s">
        <v>159</v>
      </c>
      <c r="E34" s="13" t="s">
        <v>128</v>
      </c>
      <c r="F34" s="13" t="s">
        <v>160</v>
      </c>
      <c r="G34" s="13" t="s">
        <v>161</v>
      </c>
      <c r="H34" s="15" t="s">
        <v>233</v>
      </c>
      <c r="I34" s="13" t="s">
        <v>162</v>
      </c>
      <c r="J34" s="15">
        <v>5</v>
      </c>
      <c r="K34" s="16">
        <f t="shared" si="3"/>
        <v>440.00000000000006</v>
      </c>
      <c r="L34" s="39" t="s">
        <v>225</v>
      </c>
      <c r="M34" s="56">
        <v>0.1</v>
      </c>
      <c r="N34" s="50">
        <f t="shared" si="0"/>
        <v>0.5</v>
      </c>
      <c r="O34" s="56">
        <v>8.9999999999999993E-3</v>
      </c>
      <c r="P34" s="50">
        <f t="shared" si="1"/>
        <v>3.9600000000000004</v>
      </c>
      <c r="Q34" s="17"/>
    </row>
    <row r="35" spans="1:17" ht="16.5" thickBot="1" x14ac:dyDescent="0.3">
      <c r="A35" s="1">
        <v>34</v>
      </c>
      <c r="B35" s="118"/>
      <c r="C35" s="12" t="s">
        <v>163</v>
      </c>
      <c r="D35" s="13" t="s">
        <v>164</v>
      </c>
      <c r="E35" s="13" t="s">
        <v>128</v>
      </c>
      <c r="F35" s="13" t="s">
        <v>165</v>
      </c>
      <c r="G35" s="13" t="s">
        <v>24</v>
      </c>
      <c r="H35" s="15" t="s">
        <v>234</v>
      </c>
      <c r="I35" s="13" t="s">
        <v>166</v>
      </c>
      <c r="J35" s="15">
        <v>2</v>
      </c>
      <c r="K35" s="16">
        <f t="shared" si="3"/>
        <v>176</v>
      </c>
      <c r="L35" s="39" t="s">
        <v>225</v>
      </c>
      <c r="M35" s="56">
        <v>0.1</v>
      </c>
      <c r="N35" s="50">
        <f t="shared" si="0"/>
        <v>0.2</v>
      </c>
      <c r="O35" s="56">
        <v>6.6E-3</v>
      </c>
      <c r="P35" s="50">
        <f t="shared" si="1"/>
        <v>1.1616</v>
      </c>
      <c r="Q35" s="48"/>
    </row>
    <row r="36" spans="1:17" ht="16.5" thickBot="1" x14ac:dyDescent="0.3">
      <c r="A36" s="1">
        <v>35</v>
      </c>
      <c r="B36" s="118"/>
      <c r="C36" s="12" t="s">
        <v>167</v>
      </c>
      <c r="D36" s="13" t="s">
        <v>168</v>
      </c>
      <c r="E36" s="13" t="s">
        <v>128</v>
      </c>
      <c r="F36" s="13" t="s">
        <v>169</v>
      </c>
      <c r="G36" s="13" t="s">
        <v>24</v>
      </c>
      <c r="H36" s="70" t="s">
        <v>240</v>
      </c>
      <c r="I36" s="13" t="s">
        <v>170</v>
      </c>
      <c r="J36" s="15">
        <v>4</v>
      </c>
      <c r="K36" s="16">
        <f t="shared" si="3"/>
        <v>352</v>
      </c>
      <c r="L36" s="39" t="s">
        <v>225</v>
      </c>
      <c r="M36" s="56">
        <v>0.1</v>
      </c>
      <c r="N36" s="50">
        <f t="shared" si="0"/>
        <v>0.4</v>
      </c>
      <c r="O36" s="56">
        <v>6.6E-3</v>
      </c>
      <c r="P36" s="50">
        <f t="shared" si="1"/>
        <v>2.3231999999999999</v>
      </c>
      <c r="Q36" s="17"/>
    </row>
    <row r="37" spans="1:17" ht="51.75" thickBot="1" x14ac:dyDescent="0.3">
      <c r="A37" s="1">
        <v>36</v>
      </c>
      <c r="B37" s="118"/>
      <c r="C37" s="76" t="s">
        <v>171</v>
      </c>
      <c r="D37" s="66" t="s">
        <v>172</v>
      </c>
      <c r="E37" s="13" t="s">
        <v>128</v>
      </c>
      <c r="F37" s="13" t="s">
        <v>173</v>
      </c>
      <c r="G37" s="13" t="s">
        <v>24</v>
      </c>
      <c r="H37" s="70" t="s">
        <v>240</v>
      </c>
      <c r="I37" s="13" t="s">
        <v>174</v>
      </c>
      <c r="J37" s="15">
        <v>20</v>
      </c>
      <c r="K37" s="16">
        <f t="shared" si="3"/>
        <v>1760.0000000000002</v>
      </c>
      <c r="L37" s="39" t="s">
        <v>225</v>
      </c>
      <c r="M37" s="56">
        <v>1.6E-2</v>
      </c>
      <c r="N37" s="50">
        <f t="shared" si="0"/>
        <v>0.32</v>
      </c>
      <c r="O37" s="56">
        <v>2.99E-3</v>
      </c>
      <c r="P37" s="50">
        <f t="shared" si="1"/>
        <v>5.2624000000000004</v>
      </c>
      <c r="Q37" s="17"/>
    </row>
    <row r="38" spans="1:17" ht="16.5" thickBot="1" x14ac:dyDescent="0.3">
      <c r="A38" s="1">
        <v>37</v>
      </c>
      <c r="B38" s="118"/>
      <c r="C38" s="12" t="s">
        <v>175</v>
      </c>
      <c r="D38" s="13" t="s">
        <v>176</v>
      </c>
      <c r="E38" s="13" t="s">
        <v>128</v>
      </c>
      <c r="F38" s="13" t="s">
        <v>177</v>
      </c>
      <c r="G38" s="13" t="s">
        <v>24</v>
      </c>
      <c r="H38" s="15" t="s">
        <v>235</v>
      </c>
      <c r="I38" s="13" t="s">
        <v>178</v>
      </c>
      <c r="J38" s="15">
        <v>1</v>
      </c>
      <c r="K38" s="16">
        <f t="shared" si="3"/>
        <v>88</v>
      </c>
      <c r="L38" s="39" t="s">
        <v>225</v>
      </c>
      <c r="M38" s="56">
        <v>0.1</v>
      </c>
      <c r="N38" s="50">
        <f t="shared" si="0"/>
        <v>0.1</v>
      </c>
      <c r="O38" s="56">
        <v>1.4999999999999999E-2</v>
      </c>
      <c r="P38" s="50">
        <f t="shared" si="1"/>
        <v>1.3199999999999998</v>
      </c>
      <c r="Q38" s="17"/>
    </row>
    <row r="39" spans="1:17" ht="16.5" thickBot="1" x14ac:dyDescent="0.3">
      <c r="A39" s="1">
        <v>38</v>
      </c>
      <c r="B39" s="118"/>
      <c r="C39" s="12" t="s">
        <v>179</v>
      </c>
      <c r="D39" s="13" t="s">
        <v>180</v>
      </c>
      <c r="E39" s="13" t="s">
        <v>128</v>
      </c>
      <c r="F39" s="13" t="s">
        <v>181</v>
      </c>
      <c r="G39" s="13" t="s">
        <v>24</v>
      </c>
      <c r="H39" s="70" t="s">
        <v>240</v>
      </c>
      <c r="I39" s="13" t="s">
        <v>182</v>
      </c>
      <c r="J39" s="15">
        <v>4</v>
      </c>
      <c r="K39" s="16">
        <f t="shared" si="3"/>
        <v>352</v>
      </c>
      <c r="L39" s="39" t="s">
        <v>225</v>
      </c>
      <c r="M39" s="56">
        <v>0.1</v>
      </c>
      <c r="N39" s="50">
        <f t="shared" si="0"/>
        <v>0.4</v>
      </c>
      <c r="O39" s="56">
        <v>5.4000000000000003E-3</v>
      </c>
      <c r="P39" s="50">
        <f t="shared" si="1"/>
        <v>1.9008</v>
      </c>
      <c r="Q39" s="17"/>
    </row>
    <row r="40" spans="1:17" ht="51.75" thickBot="1" x14ac:dyDescent="0.3">
      <c r="A40" s="1">
        <v>39</v>
      </c>
      <c r="B40" s="119"/>
      <c r="C40" s="68" t="s">
        <v>135</v>
      </c>
      <c r="D40" s="67" t="s">
        <v>249</v>
      </c>
      <c r="E40" s="20" t="s">
        <v>128</v>
      </c>
      <c r="F40" s="89" t="s">
        <v>183</v>
      </c>
      <c r="G40" s="89" t="s">
        <v>24</v>
      </c>
      <c r="H40" s="70" t="s">
        <v>240</v>
      </c>
      <c r="I40" s="89" t="s">
        <v>136</v>
      </c>
      <c r="J40" s="30">
        <v>22</v>
      </c>
      <c r="K40" s="16">
        <f t="shared" si="3"/>
        <v>1936.0000000000002</v>
      </c>
      <c r="L40" s="90" t="s">
        <v>225</v>
      </c>
      <c r="M40" s="91">
        <v>0.11799999999999999</v>
      </c>
      <c r="N40" s="92">
        <f t="shared" si="0"/>
        <v>2.5960000000000001</v>
      </c>
      <c r="O40" s="91">
        <v>1.9349999999999999E-2</v>
      </c>
      <c r="P40" s="92">
        <f t="shared" si="1"/>
        <v>37.461600000000004</v>
      </c>
      <c r="Q40" s="93"/>
    </row>
    <row r="41" spans="1:17" ht="16.5" thickBot="1" x14ac:dyDescent="0.3">
      <c r="A41" s="1">
        <v>40</v>
      </c>
      <c r="B41" s="107" t="s">
        <v>184</v>
      </c>
      <c r="C41" s="135" t="s">
        <v>185</v>
      </c>
      <c r="D41" s="136" t="s">
        <v>186</v>
      </c>
      <c r="E41" s="136" t="s">
        <v>239</v>
      </c>
      <c r="F41" s="136" t="s">
        <v>187</v>
      </c>
      <c r="G41" s="136" t="s">
        <v>188</v>
      </c>
      <c r="H41" s="137"/>
      <c r="I41" s="138" t="s">
        <v>240</v>
      </c>
      <c r="J41" s="95">
        <v>1</v>
      </c>
      <c r="K41" s="94">
        <f>J41*80*1.1</f>
        <v>88</v>
      </c>
      <c r="L41" s="131" t="s">
        <v>237</v>
      </c>
      <c r="M41" s="132">
        <v>0.13389999999999999</v>
      </c>
      <c r="N41" s="133">
        <f t="shared" si="0"/>
        <v>0.13389999999999999</v>
      </c>
      <c r="O41" s="132">
        <v>0.1072</v>
      </c>
      <c r="P41" s="133">
        <f t="shared" si="1"/>
        <v>9.4336000000000002</v>
      </c>
      <c r="Q41" s="134"/>
    </row>
    <row r="42" spans="1:17" ht="16.5" thickBot="1" x14ac:dyDescent="0.3">
      <c r="A42" s="1">
        <v>41</v>
      </c>
      <c r="B42" s="110" t="s">
        <v>189</v>
      </c>
      <c r="C42" s="99" t="s">
        <v>190</v>
      </c>
      <c r="D42" s="65" t="s">
        <v>191</v>
      </c>
      <c r="E42" s="65" t="s">
        <v>239</v>
      </c>
      <c r="F42" s="65" t="s">
        <v>192</v>
      </c>
      <c r="G42" s="65" t="s">
        <v>193</v>
      </c>
      <c r="H42" s="100" t="s">
        <v>240</v>
      </c>
      <c r="I42" s="100" t="s">
        <v>240</v>
      </c>
      <c r="J42" s="101">
        <v>2</v>
      </c>
      <c r="K42" s="102">
        <f>J42*80*1.1</f>
        <v>176</v>
      </c>
      <c r="L42" s="103" t="s">
        <v>236</v>
      </c>
      <c r="M42" s="104">
        <v>0.66876000000000002</v>
      </c>
      <c r="N42" s="105">
        <f t="shared" si="0"/>
        <v>1.33752</v>
      </c>
      <c r="O42" s="104">
        <v>0.42204000000000003</v>
      </c>
      <c r="P42" s="105">
        <f t="shared" si="1"/>
        <v>74.279040000000009</v>
      </c>
      <c r="Q42" s="106"/>
    </row>
    <row r="43" spans="1:17" ht="16.5" thickBot="1" x14ac:dyDescent="0.3">
      <c r="A43" s="1">
        <v>42</v>
      </c>
      <c r="B43" s="111"/>
      <c r="C43" s="12" t="s">
        <v>194</v>
      </c>
      <c r="D43" s="13" t="s">
        <v>195</v>
      </c>
      <c r="E43" s="13" t="s">
        <v>239</v>
      </c>
      <c r="F43" s="13" t="s">
        <v>196</v>
      </c>
      <c r="G43" s="13" t="s">
        <v>197</v>
      </c>
      <c r="H43" s="70" t="s">
        <v>240</v>
      </c>
      <c r="I43" s="70" t="s">
        <v>240</v>
      </c>
      <c r="J43" s="15">
        <v>1</v>
      </c>
      <c r="K43" s="16">
        <f>J43*80*1.1</f>
        <v>88</v>
      </c>
      <c r="L43" s="39" t="s">
        <v>225</v>
      </c>
      <c r="M43" s="56">
        <v>0.65</v>
      </c>
      <c r="N43" s="50">
        <f t="shared" si="0"/>
        <v>0.65</v>
      </c>
      <c r="O43" s="56">
        <v>0.57199999999999995</v>
      </c>
      <c r="P43" s="50">
        <f t="shared" si="1"/>
        <v>50.335999999999999</v>
      </c>
      <c r="Q43" s="17"/>
    </row>
    <row r="44" spans="1:17" ht="16.5" thickBot="1" x14ac:dyDescent="0.3">
      <c r="A44" s="1">
        <v>43</v>
      </c>
      <c r="B44" s="111"/>
      <c r="C44" s="12" t="s">
        <v>198</v>
      </c>
      <c r="D44" s="13" t="s">
        <v>199</v>
      </c>
      <c r="E44" s="13" t="s">
        <v>239</v>
      </c>
      <c r="F44" s="13" t="s">
        <v>200</v>
      </c>
      <c r="G44" s="13" t="s">
        <v>250</v>
      </c>
      <c r="H44" s="70" t="s">
        <v>240</v>
      </c>
      <c r="I44" s="70" t="s">
        <v>240</v>
      </c>
      <c r="J44" s="15">
        <v>1</v>
      </c>
      <c r="K44" s="16">
        <f t="shared" ref="K44:K45" si="4">J44*80*1.1</f>
        <v>88</v>
      </c>
      <c r="L44" s="39" t="s">
        <v>236</v>
      </c>
      <c r="M44" s="58">
        <v>22.08108</v>
      </c>
      <c r="N44" s="50">
        <f t="shared" si="0"/>
        <v>22.08108</v>
      </c>
      <c r="O44" s="58">
        <v>18.247319999999998</v>
      </c>
      <c r="P44" s="50">
        <f t="shared" si="1"/>
        <v>1605.7641599999999</v>
      </c>
      <c r="Q44" s="17"/>
    </row>
    <row r="45" spans="1:17" ht="16.5" thickBot="1" x14ac:dyDescent="0.3">
      <c r="A45" s="1">
        <v>44</v>
      </c>
      <c r="B45" s="112"/>
      <c r="C45" s="80" t="s">
        <v>201</v>
      </c>
      <c r="D45" s="81" t="s">
        <v>202</v>
      </c>
      <c r="E45" s="81" t="s">
        <v>239</v>
      </c>
      <c r="F45" s="81" t="s">
        <v>203</v>
      </c>
      <c r="G45" s="81" t="s">
        <v>204</v>
      </c>
      <c r="H45" s="97" t="s">
        <v>240</v>
      </c>
      <c r="I45" s="97" t="s">
        <v>240</v>
      </c>
      <c r="J45" s="83">
        <v>5</v>
      </c>
      <c r="K45" s="16">
        <f t="shared" si="4"/>
        <v>440.00000000000006</v>
      </c>
      <c r="L45" s="85" t="s">
        <v>251</v>
      </c>
      <c r="M45" s="98">
        <v>1.22</v>
      </c>
      <c r="N45" s="87">
        <f t="shared" si="0"/>
        <v>6.1</v>
      </c>
      <c r="O45" s="98">
        <v>0.51</v>
      </c>
      <c r="P45" s="87">
        <f t="shared" si="1"/>
        <v>224.40000000000003</v>
      </c>
      <c r="Q45" s="88"/>
    </row>
    <row r="46" spans="1:17" ht="16.5" thickBot="1" x14ac:dyDescent="0.3">
      <c r="A46" s="1">
        <v>45</v>
      </c>
      <c r="B46" s="113" t="s">
        <v>205</v>
      </c>
      <c r="C46" s="6" t="s">
        <v>206</v>
      </c>
      <c r="D46" s="7" t="s">
        <v>207</v>
      </c>
      <c r="E46" s="7" t="s">
        <v>239</v>
      </c>
      <c r="F46" s="7" t="s">
        <v>208</v>
      </c>
      <c r="G46" s="7" t="s">
        <v>209</v>
      </c>
      <c r="H46" s="69" t="s">
        <v>240</v>
      </c>
      <c r="I46" s="69" t="s">
        <v>240</v>
      </c>
      <c r="J46" s="9">
        <v>1</v>
      </c>
      <c r="K46" s="8">
        <f>J46*80*1.1</f>
        <v>88</v>
      </c>
      <c r="L46" s="41" t="s">
        <v>225</v>
      </c>
      <c r="M46" s="55">
        <v>0.44</v>
      </c>
      <c r="N46" s="52">
        <f t="shared" si="0"/>
        <v>0.44</v>
      </c>
      <c r="O46" s="55">
        <v>0.32819999999999999</v>
      </c>
      <c r="P46" s="52">
        <f t="shared" si="1"/>
        <v>28.881599999999999</v>
      </c>
      <c r="Q46" s="11"/>
    </row>
    <row r="47" spans="1:17" ht="16.5" thickBot="1" x14ac:dyDescent="0.3">
      <c r="A47" s="1">
        <v>46</v>
      </c>
      <c r="B47" s="111"/>
      <c r="C47" s="43" t="s">
        <v>210</v>
      </c>
      <c r="D47" s="44" t="s">
        <v>211</v>
      </c>
      <c r="E47" s="44" t="s">
        <v>239</v>
      </c>
      <c r="F47" s="44" t="s">
        <v>212</v>
      </c>
      <c r="G47" s="44" t="s">
        <v>213</v>
      </c>
      <c r="H47" s="70" t="s">
        <v>240</v>
      </c>
      <c r="I47" s="70" t="s">
        <v>240</v>
      </c>
      <c r="J47" s="32">
        <v>1</v>
      </c>
      <c r="K47" s="31">
        <f>J47*80*1.1</f>
        <v>88</v>
      </c>
      <c r="L47" s="42" t="s">
        <v>225</v>
      </c>
      <c r="M47" s="60">
        <v>6.06</v>
      </c>
      <c r="N47" s="54">
        <f t="shared" si="0"/>
        <v>6.06</v>
      </c>
      <c r="O47" s="60">
        <v>5.51</v>
      </c>
      <c r="P47" s="54">
        <f t="shared" si="1"/>
        <v>484.88</v>
      </c>
      <c r="Q47" s="49"/>
    </row>
    <row r="48" spans="1:17" ht="16.5" thickBot="1" x14ac:dyDescent="0.3">
      <c r="A48" s="1">
        <v>47</v>
      </c>
      <c r="B48" s="111"/>
      <c r="C48" s="12" t="s">
        <v>214</v>
      </c>
      <c r="D48" s="13" t="s">
        <v>215</v>
      </c>
      <c r="E48" s="13" t="s">
        <v>239</v>
      </c>
      <c r="F48" s="13" t="s">
        <v>216</v>
      </c>
      <c r="G48" s="13" t="s">
        <v>217</v>
      </c>
      <c r="H48" s="70" t="s">
        <v>240</v>
      </c>
      <c r="I48" s="70" t="s">
        <v>240</v>
      </c>
      <c r="J48" s="15">
        <v>2</v>
      </c>
      <c r="K48" s="31">
        <f t="shared" ref="K48:K49" si="5">J48*80*1.1</f>
        <v>176</v>
      </c>
      <c r="L48" s="39" t="s">
        <v>225</v>
      </c>
      <c r="M48" s="56">
        <v>0.75</v>
      </c>
      <c r="N48" s="50">
        <f t="shared" si="0"/>
        <v>1.5</v>
      </c>
      <c r="O48" s="56">
        <v>0.51670000000000005</v>
      </c>
      <c r="P48" s="50">
        <f t="shared" si="1"/>
        <v>90.939200000000014</v>
      </c>
      <c r="Q48" s="17"/>
    </row>
    <row r="49" spans="1:17" ht="16.5" thickBot="1" x14ac:dyDescent="0.3">
      <c r="A49" s="1">
        <v>48</v>
      </c>
      <c r="B49" s="114"/>
      <c r="C49" s="45" t="s">
        <v>218</v>
      </c>
      <c r="D49" s="34" t="s">
        <v>219</v>
      </c>
      <c r="E49" s="34" t="s">
        <v>218</v>
      </c>
      <c r="F49" s="33" t="s">
        <v>220</v>
      </c>
      <c r="G49" s="33" t="s">
        <v>220</v>
      </c>
      <c r="H49" s="33" t="s">
        <v>240</v>
      </c>
      <c r="I49" s="33" t="s">
        <v>240</v>
      </c>
      <c r="J49" s="34">
        <v>7</v>
      </c>
      <c r="K49" s="31">
        <f t="shared" si="5"/>
        <v>616</v>
      </c>
      <c r="L49" s="33"/>
      <c r="M49" s="33"/>
      <c r="N49" s="33"/>
      <c r="O49" s="33"/>
      <c r="P49" s="33"/>
      <c r="Q49" s="35"/>
    </row>
    <row r="50" spans="1:17" ht="15.75" thickBot="1" x14ac:dyDescent="0.3">
      <c r="B50" s="36"/>
      <c r="J50" s="115" t="s">
        <v>221</v>
      </c>
      <c r="K50" s="115"/>
      <c r="L50" s="115"/>
      <c r="M50" s="115"/>
      <c r="N50" s="61"/>
      <c r="O50" s="61"/>
      <c r="P50" s="62">
        <f>SUM(P3:P48)</f>
        <v>4334.784959999999</v>
      </c>
    </row>
    <row r="51" spans="1:17" x14ac:dyDescent="0.25">
      <c r="B51" s="36"/>
      <c r="J51" s="116" t="s">
        <v>222</v>
      </c>
      <c r="K51" s="116"/>
      <c r="L51" s="116"/>
      <c r="M51" s="116"/>
      <c r="N51" s="37">
        <f>SUM(N3:N48)</f>
        <v>87.407999999999987</v>
      </c>
      <c r="P51" s="38">
        <f>P50/80</f>
        <v>54.184811999999987</v>
      </c>
    </row>
    <row r="52" spans="1:17" ht="15.75" thickBot="1" x14ac:dyDescent="0.3">
      <c r="B52" s="36"/>
      <c r="C52" t="s">
        <v>223</v>
      </c>
    </row>
    <row r="53" spans="1:17" ht="32.25" thickBot="1" x14ac:dyDescent="0.3">
      <c r="B53" s="36"/>
      <c r="C53" s="109" t="s">
        <v>224</v>
      </c>
    </row>
    <row r="54" spans="1:17" ht="16.5" thickBot="1" x14ac:dyDescent="0.3">
      <c r="C54" s="109"/>
    </row>
    <row r="55" spans="1:17" ht="16.5" thickBot="1" x14ac:dyDescent="0.3">
      <c r="C55" s="109"/>
    </row>
    <row r="56" spans="1:17" x14ac:dyDescent="0.25">
      <c r="C56" s="63"/>
    </row>
  </sheetData>
  <mergeCells count="11">
    <mergeCell ref="B25:B26"/>
    <mergeCell ref="A1:Q1"/>
    <mergeCell ref="B16:B17"/>
    <mergeCell ref="B18:B20"/>
    <mergeCell ref="B21:B23"/>
    <mergeCell ref="B3:B15"/>
    <mergeCell ref="B42:B45"/>
    <mergeCell ref="B46:B49"/>
    <mergeCell ref="J50:M50"/>
    <mergeCell ref="J51:M51"/>
    <mergeCell ref="B27:B40"/>
  </mergeCells>
  <conditionalFormatting sqref="N51:P51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{E4022389-15F6-420C-B46D-639463898A28}</x14:id>
        </ext>
      </extLst>
    </cfRule>
  </conditionalFormatting>
  <conditionalFormatting sqref="N23:N48 N3:N21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{BED3E9A7-7C6C-42CF-BFA0-C7FF39D6E667}</x14:id>
        </ext>
      </extLst>
    </cfRule>
  </conditionalFormatting>
  <conditionalFormatting sqref="P23:P48 P3:P21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{15F47113-5465-446D-AE26-CA793756D32B}</x14:id>
        </ext>
      </extLst>
    </cfRule>
  </conditionalFormatting>
  <conditionalFormatting sqref="J3:K4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F9" tooltip="Manufacturer" display="'GCM1555C1H470JA16D"/>
    <hyperlink ref="L4" r:id="rId1"/>
    <hyperlink ref="L5" r:id="rId2"/>
    <hyperlink ref="L6" r:id="rId3"/>
    <hyperlink ref="L12" r:id="rId4"/>
    <hyperlink ref="L14" r:id="rId5"/>
    <hyperlink ref="L24" r:id="rId6"/>
    <hyperlink ref="L26" r:id="rId7"/>
    <hyperlink ref="L28" r:id="rId8"/>
    <hyperlink ref="L29" r:id="rId9"/>
    <hyperlink ref="L30" r:id="rId10"/>
    <hyperlink ref="L31" r:id="rId11"/>
    <hyperlink ref="L32" r:id="rId12"/>
    <hyperlink ref="L33" r:id="rId13"/>
    <hyperlink ref="L36" r:id="rId14"/>
    <hyperlink ref="L37" r:id="rId15"/>
    <hyperlink ref="L39" r:id="rId16"/>
    <hyperlink ref="L40" r:id="rId17"/>
    <hyperlink ref="L43" r:id="rId18"/>
    <hyperlink ref="L46" r:id="rId19"/>
    <hyperlink ref="L47" r:id="rId20"/>
    <hyperlink ref="L48" r:id="rId21"/>
    <hyperlink ref="L3" r:id="rId22"/>
    <hyperlink ref="L7" r:id="rId23"/>
    <hyperlink ref="L9" r:id="rId24"/>
    <hyperlink ref="L10" r:id="rId25"/>
    <hyperlink ref="L11" r:id="rId26"/>
    <hyperlink ref="L13" r:id="rId27"/>
    <hyperlink ref="L16" r:id="rId28"/>
    <hyperlink ref="L19" r:id="rId29"/>
    <hyperlink ref="L34" r:id="rId30"/>
    <hyperlink ref="L35" r:id="rId31"/>
    <hyperlink ref="L38" r:id="rId32"/>
    <hyperlink ref="L42" r:id="rId33"/>
    <hyperlink ref="L44" r:id="rId34"/>
    <hyperlink ref="L41" r:id="rId35"/>
    <hyperlink ref="L18" r:id="rId36"/>
    <hyperlink ref="L22" r:id="rId37"/>
    <hyperlink ref="L8" r:id="rId38"/>
    <hyperlink ref="L15" r:id="rId39"/>
    <hyperlink ref="L17" r:id="rId40"/>
    <hyperlink ref="L20" r:id="rId41"/>
    <hyperlink ref="L21" r:id="rId42"/>
    <hyperlink ref="L23" r:id="rId43"/>
    <hyperlink ref="L25" r:id="rId44"/>
    <hyperlink ref="L27" r:id="rId45"/>
    <hyperlink ref="L45" r:id="rId46"/>
  </hyperlinks>
  <pageMargins left="0.7" right="0.7" top="0.75" bottom="0.75" header="0.3" footer="0.3"/>
  <pageSetup orientation="portrait" r:id="rId4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022389-15F6-420C-B46D-639463898A2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N51:P51</xm:sqref>
        </x14:conditionalFormatting>
        <x14:conditionalFormatting xmlns:xm="http://schemas.microsoft.com/office/excel/2006/main">
          <x14:cfRule type="dataBar" id="{BED3E9A7-7C6C-42CF-BFA0-C7FF39D6E6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N23:N48 N3:N21</xm:sqref>
        </x14:conditionalFormatting>
        <x14:conditionalFormatting xmlns:xm="http://schemas.microsoft.com/office/excel/2006/main">
          <x14:cfRule type="dataBar" id="{15F47113-5465-446D-AE26-CA793756D3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P23:P48 P3:P21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Faizan Ur Rahman</cp:lastModifiedBy>
  <dcterms:created xsi:type="dcterms:W3CDTF">2021-06-15T13:23:22Z</dcterms:created>
  <dcterms:modified xsi:type="dcterms:W3CDTF">2021-06-19T18:00:16Z</dcterms:modified>
</cp:coreProperties>
</file>