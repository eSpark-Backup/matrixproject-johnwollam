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ftik\Desktop\"/>
    </mc:Choice>
  </mc:AlternateContent>
  <bookViews>
    <workbookView xWindow="0" yWindow="0" windowWidth="21570" windowHeight="805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1" i="1" l="1"/>
  <c r="S11" i="1"/>
  <c r="P11" i="1"/>
  <c r="Q10" i="1"/>
  <c r="S10" i="1"/>
  <c r="P10" i="1"/>
  <c r="Q9" i="1"/>
  <c r="S9" i="1"/>
  <c r="P9" i="1"/>
  <c r="Q8" i="1"/>
  <c r="S8" i="1"/>
  <c r="P8" i="1"/>
  <c r="Q7" i="1"/>
  <c r="S7" i="1"/>
  <c r="P7" i="1"/>
  <c r="Q6" i="1"/>
  <c r="S6" i="1"/>
  <c r="P6" i="1"/>
  <c r="Q5" i="1"/>
  <c r="S5" i="1"/>
  <c r="P5" i="1"/>
  <c r="Q4" i="1"/>
  <c r="S4" i="1"/>
  <c r="P4" i="1"/>
  <c r="Q3" i="1"/>
  <c r="S3" i="1"/>
  <c r="P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3" i="1"/>
  <c r="Q51" i="1" l="1"/>
  <c r="P52" i="1" l="1"/>
  <c r="S51" i="1"/>
  <c r="S52" i="1" s="1"/>
</calcChain>
</file>

<file path=xl/sharedStrings.xml><?xml version="1.0" encoding="utf-8"?>
<sst xmlns="http://schemas.openxmlformats.org/spreadsheetml/2006/main" count="332" uniqueCount="248">
  <si>
    <t>S. No.</t>
  </si>
  <si>
    <t>Components</t>
  </si>
  <si>
    <t>Description</t>
  </si>
  <si>
    <t>Designator</t>
  </si>
  <si>
    <t>Footprint (Package)</t>
  </si>
  <si>
    <t>Manufacturer Part Number</t>
  </si>
  <si>
    <t>Manufacturer</t>
  </si>
  <si>
    <t xml:space="preserve">LCSC Part No </t>
  </si>
  <si>
    <t>Alternate</t>
  </si>
  <si>
    <t>Value</t>
  </si>
  <si>
    <t>LCSC/MOQ</t>
  </si>
  <si>
    <t>Quantity (Per Board)</t>
  </si>
  <si>
    <t>Unit Cost(1)</t>
  </si>
  <si>
    <t>Total Cost(1)</t>
  </si>
  <si>
    <t>Remarks</t>
  </si>
  <si>
    <t>Capacitor</t>
  </si>
  <si>
    <t>Cap0402</t>
  </si>
  <si>
    <t>TDK</t>
  </si>
  <si>
    <t>0.1uF</t>
  </si>
  <si>
    <t>LCSC</t>
  </si>
  <si>
    <t>CAP CER 47UF 25V X5R 1206</t>
  </si>
  <si>
    <t>Cap1206</t>
  </si>
  <si>
    <t>GRM31CR61E476ME44L</t>
  </si>
  <si>
    <t>47uF</t>
  </si>
  <si>
    <t>Taiyo Yuden</t>
  </si>
  <si>
    <t>1uF</t>
  </si>
  <si>
    <t>22uF</t>
  </si>
  <si>
    <t>Cap0805</t>
  </si>
  <si>
    <t>Murata</t>
  </si>
  <si>
    <t>10uF</t>
  </si>
  <si>
    <t>Custom</t>
  </si>
  <si>
    <t>Diode</t>
  </si>
  <si>
    <t>Inductor</t>
  </si>
  <si>
    <t>L1</t>
  </si>
  <si>
    <t>-------</t>
  </si>
  <si>
    <t>Mosfet</t>
  </si>
  <si>
    <t>BSS138LT1G</t>
  </si>
  <si>
    <t>ON Semiconductor</t>
  </si>
  <si>
    <t>Resistor</t>
  </si>
  <si>
    <t>Res0402</t>
  </si>
  <si>
    <t>R6</t>
  </si>
  <si>
    <t>Panasonic</t>
  </si>
  <si>
    <t>R8</t>
  </si>
  <si>
    <t>Yageo</t>
  </si>
  <si>
    <t>10K</t>
  </si>
  <si>
    <t>R16, R17</t>
  </si>
  <si>
    <t>Res0603</t>
  </si>
  <si>
    <t>Ics</t>
  </si>
  <si>
    <t>Texas Instruments</t>
  </si>
  <si>
    <t>U3</t>
  </si>
  <si>
    <t>U4</t>
  </si>
  <si>
    <t>Connector</t>
  </si>
  <si>
    <t>Molex</t>
  </si>
  <si>
    <t>--------</t>
  </si>
  <si>
    <t>J6</t>
  </si>
  <si>
    <t>10118192-0001LF</t>
  </si>
  <si>
    <t>Amphenol FCI</t>
  </si>
  <si>
    <t xml:space="preserve">Total Component Cost </t>
  </si>
  <si>
    <t>Single Board Cost</t>
  </si>
  <si>
    <t>Link</t>
  </si>
  <si>
    <t>MOQ Total</t>
  </si>
  <si>
    <t>CAP CER 10UF 10V X5R 0402</t>
  </si>
  <si>
    <t>C1, C23, C33, CF1</t>
  </si>
  <si>
    <t>CL05A106MP8NUB8</t>
  </si>
  <si>
    <t>Samsung</t>
  </si>
  <si>
    <t>CAP ALUM POLY 180UF 20% 16V SMD</t>
  </si>
  <si>
    <t>C11</t>
  </si>
  <si>
    <t>16SVPF180M</t>
  </si>
  <si>
    <t>CAP CER 0.47UF 25V X5R 0402</t>
  </si>
  <si>
    <t>C13</t>
  </si>
  <si>
    <t>GRT155R61E474KE01D</t>
  </si>
  <si>
    <t>CAP CER 0.047UF 16V X5R 0201</t>
  </si>
  <si>
    <t>C14</t>
  </si>
  <si>
    <t>Cap 0201</t>
  </si>
  <si>
    <t>GRM033R61C473KE84D</t>
  </si>
  <si>
    <t>C15, C16</t>
  </si>
  <si>
    <t>CAP CER 4.7UF 25V X5R 0603</t>
  </si>
  <si>
    <t>C25, CU5</t>
  </si>
  <si>
    <t>Cap0603</t>
  </si>
  <si>
    <t>CL10A475KA8NQNC</t>
  </si>
  <si>
    <t>CAP CER 47PF 50V C0G/NP0 0402</t>
  </si>
  <si>
    <t>C34, C35</t>
  </si>
  <si>
    <t>GCM1555C1H470JA16D</t>
  </si>
  <si>
    <t>CAP CER 10UF 25V X5R 0603</t>
  </si>
  <si>
    <t>CF2, CF3</t>
  </si>
  <si>
    <t>TMK107BBJ106MA-T</t>
  </si>
  <si>
    <t>CAP CER 22UF 25V X5R 0805</t>
  </si>
  <si>
    <t>CF6, CF7, C9, CS1</t>
  </si>
  <si>
    <t>CC0805MKX5R8BB226</t>
  </si>
  <si>
    <t>CAP CER 0.1UF 16V X7R 0402</t>
  </si>
  <si>
    <t>C2, C8, C10, C12, C17, C32, CF4, CF5, CF8'CU1, CU2, CU3, CU4, CU8</t>
  </si>
  <si>
    <t>CC0402KRX7R7BB104</t>
  </si>
  <si>
    <t>CAP CER 1UF 25V X5R 0402</t>
  </si>
  <si>
    <t>CU6</t>
  </si>
  <si>
    <t>GRM155R61E105KA12D</t>
  </si>
  <si>
    <t>CAP CER 10000PF 25V X7R 0402</t>
  </si>
  <si>
    <t>CU7</t>
  </si>
  <si>
    <t>CC0402KRX7R8BB103</t>
  </si>
  <si>
    <t>CAP CER 20PF 25V C0H 0201</t>
  </si>
  <si>
    <t>CU9, CU10</t>
  </si>
  <si>
    <t>GJM0336C1E200JB01D</t>
  </si>
  <si>
    <t>180uF</t>
  </si>
  <si>
    <t>470nF</t>
  </si>
  <si>
    <t>47nF</t>
  </si>
  <si>
    <t>4.7UF</t>
  </si>
  <si>
    <t>47pF</t>
  </si>
  <si>
    <t>10nF</t>
  </si>
  <si>
    <t>20pF</t>
  </si>
  <si>
    <t>Unit Cost (110)</t>
  </si>
  <si>
    <t>Total Cost (110)</t>
  </si>
  <si>
    <t>Quantity 110</t>
  </si>
  <si>
    <t>DIODE SCHOTTKY 30V 1A SOD123W</t>
  </si>
  <si>
    <t>D1, D2</t>
  </si>
  <si>
    <t>PMEG3010ER,115</t>
  </si>
  <si>
    <t>NXP Semiconductors</t>
  </si>
  <si>
    <t>LED GREEN CLEAR CHIP 0603 SMD, LED GREEN CLEAR CHIP SMD</t>
  </si>
  <si>
    <t>LED1, LED2, LED3, LED4, LED5, LED6, LED7, LED8, LED9, LED10, LED11, LED12, LED13, LED14, LED15, LED16, LED17, LED18, LED19, LED20, LED21, LED22</t>
  </si>
  <si>
    <t>LTST-C190KGKT</t>
  </si>
  <si>
    <t>Vishay Lite-On</t>
  </si>
  <si>
    <t>P-Channel 30V Fast Switching MOSFET</t>
  </si>
  <si>
    <t>Q1</t>
  </si>
  <si>
    <t>QM3001K</t>
  </si>
  <si>
    <t>TY Semiconductor</t>
  </si>
  <si>
    <t>NPN Resistor-Equiped Transistor, MOSFET N-CH 50V 200MA SOT-23</t>
  </si>
  <si>
    <t>Q2, Q17, Q18, Q19, Q20, Q21, Q22, Q23, Q24, Q29, Q30, Q31, Q32, Q33, Q34, Q35, Q36, Q39, Q40, Q41, Q42, Q47, Q48, Q49, Q50, Q51, Q52, Q53, Q54, Q59, Q60, Q61, Q62, Q63, Q64, Q65, Q66, Q69, Q70, Q71, Q72, Q73, Q74, Q75, Q76</t>
  </si>
  <si>
    <t>MOSFET P-CH 20V 2.8A SOT-23</t>
  </si>
  <si>
    <t>Q13, Q14, Q15, Q16, Q25, Q26, Q27, Q28, Q37, Q38, Q43, Q44, Q45, Q46, Q55, Q56, Q57, Q58, Q67, Q68</t>
  </si>
  <si>
    <t>PMV65XP,215</t>
  </si>
  <si>
    <t>Nexperia</t>
  </si>
  <si>
    <t>FERRITE BEAD 120 OHM 0402 1LN</t>
  </si>
  <si>
    <t>FB1</t>
  </si>
  <si>
    <t>MMZ1005F121ET000</t>
  </si>
  <si>
    <t>2.2uH ±20% 5.5A 29mO SMD,5.75x5.2x3mm Inductors (SMD) RoHS</t>
  </si>
  <si>
    <t>MS0530-2R2M</t>
  </si>
  <si>
    <t>COILMX</t>
  </si>
  <si>
    <t>FIXED IND 3.3UH 6A 30 MOHM SMD</t>
  </si>
  <si>
    <t>LF1</t>
  </si>
  <si>
    <t>HCM0703-3R3-R</t>
  </si>
  <si>
    <t>Eaton Cooper</t>
  </si>
  <si>
    <t>PTC RESET FUSE 16V 2.5A 1812</t>
  </si>
  <si>
    <t>F1</t>
  </si>
  <si>
    <t>MF-MSMF250/16X-2</t>
  </si>
  <si>
    <t>Bourns</t>
  </si>
  <si>
    <t>SWITCH TACTILE SPST-NO 0.05A 12V</t>
  </si>
  <si>
    <t>SW4</t>
  </si>
  <si>
    <t>B3U-1000P</t>
  </si>
  <si>
    <t>Omron</t>
  </si>
  <si>
    <t>2 Position SPDT Miniature Slide Switch 100MA 12V Through Hole, Right Angle</t>
  </si>
  <si>
    <t>SW5</t>
  </si>
  <si>
    <t>OS102011MA1QN1</t>
  </si>
  <si>
    <t>ITT C&amp;K</t>
  </si>
  <si>
    <t>RES SMD 10K OHM 1% 1/16W 0402</t>
  </si>
  <si>
    <t>R1, R4, R59, R60, R61, R62, R63, R64, R65, R66, R71, R72, R73, R74, R75, R76, R77, R78, R83, R84, R85, R86, R90, R91, R92, R93, R94, R95, R96, R97, R102, R103, R104, R105, R106, R107, R108, R109, R114, R115, R116, R117, R120, R121, R122, R123</t>
  </si>
  <si>
    <t>RC0402FR-0710KL</t>
  </si>
  <si>
    <t>RES SMD 33.2K OHM 1% 1/16W 0402</t>
  </si>
  <si>
    <t>R2</t>
  </si>
  <si>
    <t>RC0402FR-0733K2L</t>
  </si>
  <si>
    <t>RES SMD 390 OHM 5% 1/10W 0603</t>
  </si>
  <si>
    <t>R5, R13, R14, R21, R22</t>
  </si>
  <si>
    <t>RC0603JR-07390RL</t>
  </si>
  <si>
    <t>RES SMD 330K OHM 1% 1/16W 0402</t>
  </si>
  <si>
    <t>RC0402FR-07330KL</t>
  </si>
  <si>
    <t>RES SMD 220K OHM 1% 1/16W 0402</t>
  </si>
  <si>
    <t>R7, R9</t>
  </si>
  <si>
    <t>RC0402FR-07220KL</t>
  </si>
  <si>
    <t>RES SMD 100 OHM 1% 1/16W 0402</t>
  </si>
  <si>
    <t>RC0402FR-07100RL</t>
  </si>
  <si>
    <t>RES SMD 270K OHM 1% 1/16W 0402</t>
  </si>
  <si>
    <t>R10</t>
  </si>
  <si>
    <t>RC0402FR-07270KL</t>
  </si>
  <si>
    <t>RES 240 OHM 1% 1/16W 0402</t>
  </si>
  <si>
    <t>R11, R15, R18, R23, R24</t>
  </si>
  <si>
    <t>CRCW0402240RFKEDC</t>
  </si>
  <si>
    <t>Vishay</t>
  </si>
  <si>
    <t>RES 10K OHM 5% 1/10W 0402</t>
  </si>
  <si>
    <t>R12, R19, R20, R25, R26, RF3</t>
  </si>
  <si>
    <t>RK73B1ETTP103J</t>
  </si>
  <si>
    <t>KOA Speer</t>
  </si>
  <si>
    <t>RES SMD 27 OHM 1% 1/16W 0402</t>
  </si>
  <si>
    <t>RT0402FRE0727RL</t>
  </si>
  <si>
    <t>RES SMD 4.7K OHM 1% 1/16W 0402</t>
  </si>
  <si>
    <t>R38, R46, R48, R50</t>
  </si>
  <si>
    <t>RC0402FR-074K7L</t>
  </si>
  <si>
    <t>RES SMD 330 OHM 1% 1/16W 0402</t>
  </si>
  <si>
    <t>R67, R68, R69, R70, R79, R80, R81, R82, R87, R88, R98, R99, R100, R101, R110, R111, R112, R113, R118, R119</t>
  </si>
  <si>
    <t>RC0402FR-07330RL</t>
  </si>
  <si>
    <t>RES SMD 54.9K OHM 1% 1/16W 0402</t>
  </si>
  <si>
    <t>RF2</t>
  </si>
  <si>
    <t>AC0402FR-0754K9L</t>
  </si>
  <si>
    <t>RES SMD 20K OHM 1% 1/16W 0402</t>
  </si>
  <si>
    <t>RF10, RU1, RU2, RU3</t>
  </si>
  <si>
    <t>RC0402JR-0720KL</t>
  </si>
  <si>
    <t>RES SMD 1K OHM 1% 1/16W 0402</t>
  </si>
  <si>
    <t>RP1, RP2, RP3, RP4, RP5, RP6, RP7, RP8, RP9, RP10, RP11, RP12, RP13, RP14, RP15, RP16, RP17, RP18, RP19, RP20,R3, R58</t>
  </si>
  <si>
    <t>AT0402FRE071KL</t>
  </si>
  <si>
    <t>8MHz ±20ppm 20pF SMD,12.5x4.5mm SMD Crystal Resonators RoHS</t>
  </si>
  <si>
    <t>X1</t>
  </si>
  <si>
    <t>49MD-8.000-20-20-20/A</t>
  </si>
  <si>
    <t>Suzhou Liming Elec</t>
  </si>
  <si>
    <t>IC REG BUCK ADJ 3A TSOT23-6</t>
  </si>
  <si>
    <t>U1, U2</t>
  </si>
  <si>
    <t>TPS563201DDCR</t>
  </si>
  <si>
    <t>TVS DIODE 5V 6.8V 6UDFN</t>
  </si>
  <si>
    <t>SP3014-02UTG</t>
  </si>
  <si>
    <t>Littelfuse</t>
  </si>
  <si>
    <t>IC MCU 32BIT 128KB FLASH 48LQFP</t>
  </si>
  <si>
    <t>STM32F070CBT6TR</t>
  </si>
  <si>
    <t>STMicroelectronics</t>
  </si>
  <si>
    <t>TransistorOptocouplers DC 1 2500Vrms SOP-4_P1.27 Optocouplers RoHS</t>
  </si>
  <si>
    <t>U5, U6, U7, U8, U9</t>
  </si>
  <si>
    <t>PS2801C-1-F3-A</t>
  </si>
  <si>
    <t>CEL</t>
  </si>
  <si>
    <t>CONN USB MICRO B RECPT SMT R/A</t>
  </si>
  <si>
    <t>USB1</t>
  </si>
  <si>
    <t>TERM BLK 12P SIDE ENT 5.08MM PCB</t>
  </si>
  <si>
    <t>1729225</t>
  </si>
  <si>
    <t>Phoenix Contact</t>
  </si>
  <si>
    <t>CONN HEADER VERT 11POS 2.54MM</t>
  </si>
  <si>
    <t>P2, P3</t>
  </si>
  <si>
    <t>0022232111</t>
  </si>
  <si>
    <t>Socket</t>
  </si>
  <si>
    <t>J1, J2, J3, J4, J5, J7, J8</t>
  </si>
  <si>
    <t>Fuse</t>
  </si>
  <si>
    <t>Switch</t>
  </si>
  <si>
    <t>Crystal</t>
  </si>
  <si>
    <t>33.2K</t>
  </si>
  <si>
    <t>390R</t>
  </si>
  <si>
    <t>330K</t>
  </si>
  <si>
    <t>220K</t>
  </si>
  <si>
    <t>100R</t>
  </si>
  <si>
    <t>270K</t>
  </si>
  <si>
    <t>240R</t>
  </si>
  <si>
    <t>27R</t>
  </si>
  <si>
    <t>4.7K</t>
  </si>
  <si>
    <t>330R</t>
  </si>
  <si>
    <t>54.9K</t>
  </si>
  <si>
    <t>20K</t>
  </si>
  <si>
    <t>1K</t>
  </si>
  <si>
    <t>Bill of Material (BOM) for John Wollam</t>
  </si>
  <si>
    <t>C307415</t>
  </si>
  <si>
    <t>Chipmall</t>
  </si>
  <si>
    <t>CL05A474KA5NNNC</t>
  </si>
  <si>
    <t>C92361</t>
  </si>
  <si>
    <t>C88917</t>
  </si>
  <si>
    <t xml:space="preserve">Alternate part use due to other supplier MOQ Issue </t>
  </si>
  <si>
    <t>C69335</t>
  </si>
  <si>
    <t>C126511</t>
  </si>
  <si>
    <t>C386081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</si>
</sst>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&quot;$&quot;#,##0.0000"/>
    <numFmt numFmtId="165" formatCode="&quot;$&quot;#,##0.00"/>
    <numFmt numFmtId="166" formatCode="_-[$$-409]* #,##0.00_ ;_-[$$-409]* \-#,##0.00\ ;_-[$$-409]* &quot;-&quot;??_ ;_-@_ "/>
    <numFmt numFmtId="168" formatCode="&quot;$&quot;#,##0.00000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trike/>
      <sz val="10"/>
      <color rgb="FFFF0000"/>
      <name val="Calibri"/>
      <family val="2"/>
      <scheme val="minor"/>
    </font>
    <font>
      <sz val="11"/>
      <color rgb="FF444444"/>
      <name val="Arial"/>
      <family val="2"/>
    </font>
    <font>
      <sz val="10"/>
      <color rgb="FF333333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444444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74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0" xfId="0" applyFont="1"/>
    <xf numFmtId="0" fontId="5" fillId="3" borderId="3" xfId="0" quotePrefix="1" applyFont="1" applyFill="1" applyBorder="1" applyAlignment="1">
      <alignment horizontal="center" vertical="center" wrapText="1"/>
    </xf>
    <xf numFmtId="0" fontId="4" fillId="0" borderId="3" xfId="0" quotePrefix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3" borderId="3" xfId="0" quotePrefix="1" applyFont="1" applyFill="1" applyBorder="1" applyAlignment="1">
      <alignment horizontal="center" vertical="center"/>
    </xf>
    <xf numFmtId="0" fontId="5" fillId="0" borderId="3" xfId="0" quotePrefix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65" fontId="5" fillId="0" borderId="0" xfId="0" applyNumberFormat="1" applyFont="1" applyFill="1" applyBorder="1" applyAlignment="1">
      <alignment horizontal="center" vertical="center"/>
    </xf>
    <xf numFmtId="0" fontId="10" fillId="5" borderId="0" xfId="0" applyFont="1" applyFill="1" applyAlignment="1">
      <alignment horizontal="left" vertical="top" wrapText="1"/>
    </xf>
    <xf numFmtId="0" fontId="0" fillId="5" borderId="0" xfId="0" applyFill="1"/>
    <xf numFmtId="0" fontId="2" fillId="2" borderId="7" xfId="0" applyFont="1" applyFill="1" applyBorder="1" applyAlignment="1">
      <alignment horizontal="center" vertical="center"/>
    </xf>
    <xf numFmtId="0" fontId="5" fillId="0" borderId="0" xfId="0" applyFont="1"/>
    <xf numFmtId="165" fontId="5" fillId="0" borderId="0" xfId="0" applyNumberFormat="1" applyFont="1"/>
    <xf numFmtId="0" fontId="13" fillId="5" borderId="0" xfId="0" applyFont="1" applyFill="1" applyAlignment="1">
      <alignment horizontal="left" vertical="top" wrapText="1"/>
    </xf>
    <xf numFmtId="165" fontId="5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4" fillId="0" borderId="3" xfId="0" quotePrefix="1" applyFont="1" applyBorder="1"/>
    <xf numFmtId="0" fontId="4" fillId="4" borderId="4" xfId="0" quotePrefix="1" applyFont="1" applyFill="1" applyBorder="1" applyAlignment="1">
      <alignment horizontal="center" vertical="center"/>
    </xf>
    <xf numFmtId="0" fontId="12" fillId="3" borderId="0" xfId="0" applyFont="1" applyFill="1" applyBorder="1" applyAlignment="1">
      <alignment horizontal="center" wrapText="1"/>
    </xf>
    <xf numFmtId="0" fontId="2" fillId="2" borderId="12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 wrapText="1"/>
    </xf>
    <xf numFmtId="0" fontId="4" fillId="3" borderId="3" xfId="0" quotePrefix="1" applyFont="1" applyFill="1" applyBorder="1"/>
    <xf numFmtId="0" fontId="4" fillId="3" borderId="3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164" fontId="7" fillId="3" borderId="3" xfId="1" applyNumberFormat="1" applyFont="1" applyFill="1" applyBorder="1" applyAlignment="1">
      <alignment horizontal="center" vertical="center"/>
    </xf>
    <xf numFmtId="164" fontId="4" fillId="3" borderId="3" xfId="0" applyNumberFormat="1" applyFont="1" applyFill="1" applyBorder="1" applyAlignment="1">
      <alignment horizontal="center" vertical="center"/>
    </xf>
    <xf numFmtId="164" fontId="5" fillId="3" borderId="3" xfId="0" applyNumberFormat="1" applyFont="1" applyFill="1" applyBorder="1" applyAlignment="1">
      <alignment horizontal="center" vertical="center"/>
    </xf>
    <xf numFmtId="164" fontId="11" fillId="3" borderId="3" xfId="0" applyNumberFormat="1" applyFont="1" applyFill="1" applyBorder="1" applyAlignment="1">
      <alignment horizontal="center" vertical="center"/>
    </xf>
    <xf numFmtId="0" fontId="5" fillId="3" borderId="3" xfId="0" quotePrefix="1" applyFont="1" applyFill="1" applyBorder="1" applyAlignment="1">
      <alignment horizontal="center" vertical="center"/>
    </xf>
    <xf numFmtId="0" fontId="7" fillId="3" borderId="3" xfId="1" quotePrefix="1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4" fillId="0" borderId="3" xfId="1" quotePrefix="1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/>
    </xf>
    <xf numFmtId="168" fontId="4" fillId="3" borderId="3" xfId="0" applyNumberFormat="1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4" fillId="0" borderId="3" xfId="0" quotePrefix="1" applyFont="1" applyBorder="1" applyAlignment="1">
      <alignment horizontal="left" vertical="center"/>
    </xf>
    <xf numFmtId="166" fontId="9" fillId="3" borderId="3" xfId="0" applyNumberFormat="1" applyFont="1" applyFill="1" applyBorder="1" applyAlignment="1">
      <alignment horizontal="center" vertical="center"/>
    </xf>
    <xf numFmtId="0" fontId="5" fillId="3" borderId="3" xfId="0" applyFont="1" applyFill="1" applyBorder="1"/>
    <xf numFmtId="0" fontId="4" fillId="0" borderId="3" xfId="0" quotePrefix="1" applyFont="1" applyBorder="1" applyAlignment="1">
      <alignment horizontal="left" vertical="center" wrapText="1"/>
    </xf>
    <xf numFmtId="0" fontId="4" fillId="3" borderId="3" xfId="0" quotePrefix="1" applyFont="1" applyFill="1" applyBorder="1" applyAlignment="1">
      <alignment horizontal="left" vertical="center"/>
    </xf>
    <xf numFmtId="0" fontId="4" fillId="3" borderId="3" xfId="0" quotePrefix="1" applyFont="1" applyFill="1" applyBorder="1" applyAlignment="1">
      <alignment horizontal="center" vertical="center" wrapText="1"/>
    </xf>
    <xf numFmtId="0" fontId="6" fillId="3" borderId="3" xfId="1" quotePrefix="1" applyFill="1" applyBorder="1" applyAlignment="1">
      <alignment horizontal="center" vertical="center"/>
    </xf>
    <xf numFmtId="165" fontId="11" fillId="3" borderId="3" xfId="0" applyNumberFormat="1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/>
    </xf>
    <xf numFmtId="0" fontId="4" fillId="6" borderId="9" xfId="0" applyFont="1" applyFill="1" applyBorder="1" applyAlignment="1">
      <alignment horizontal="center" vertical="center"/>
    </xf>
    <xf numFmtId="0" fontId="4" fillId="8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164" fontId="6" fillId="3" borderId="3" xfId="1" applyNumberForma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0" fillId="3" borderId="3" xfId="0" quotePrefix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lcsc.com/product-detail/Multilayer-Ceramic-Capacitors-MLCC-SMD-SMT_Taiyo-Yuden-TMK107BBJ106MA-T_C386081.html" TargetMode="External"/><Relationship Id="rId3" Type="http://schemas.openxmlformats.org/officeDocument/2006/relationships/hyperlink" Target="https://lcsc.com/product-detail/Multilayer-Ceramic-Capacitors-MLCC-SMD-SMT_Samsung-Electro-Mechanics-CL05A474KA5NNNC_C92361.html" TargetMode="External"/><Relationship Id="rId7" Type="http://schemas.openxmlformats.org/officeDocument/2006/relationships/hyperlink" Target="https://lcsc.com/product-detail/Multilayer-Ceramic-Capacitors-MLCC-SMD-SMT_Murata-Electronics-GCM1555C1H470JA16D_C126511.html" TargetMode="External"/><Relationship Id="rId2" Type="http://schemas.openxmlformats.org/officeDocument/2006/relationships/hyperlink" Target="https://www.chipmall.com/product_detail/Panasonic/Aluminum-Organic-Polymer-Capacitors/16SVPF180M_2372798.html" TargetMode="External"/><Relationship Id="rId1" Type="http://schemas.openxmlformats.org/officeDocument/2006/relationships/hyperlink" Target="https://lcsc.com/product-detail/Others_Samsung-Electro-Mechanics_CL05A106MP8NUB8_Samsung-Electro-Mechanics-CL05A106MP8NUB8_C307415.html" TargetMode="External"/><Relationship Id="rId6" Type="http://schemas.openxmlformats.org/officeDocument/2006/relationships/hyperlink" Target="https://lcsc.com/product-detail/Multilayer-Ceramic-Capacitors-MLCC-SMD-SMT_Samsung-Electro-Mechanics-CL10A475KA8NQNC_C69335.html" TargetMode="External"/><Relationship Id="rId5" Type="http://schemas.openxmlformats.org/officeDocument/2006/relationships/hyperlink" Target="https://www.chipmall.com/product_detail/Murata-Electronics/Multilayer-Ceramic-Capacitors-MLCC-SMD-SMT/GRM31CR61E476ME44L_4699019.html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s://lcsc.com/product-detail/Multilayer-Ceramic-Capacitors-MLCC-SMD-SMT_Murata-Electronics-GRM033R61C473KE84D_C88917.html" TargetMode="External"/><Relationship Id="rId9" Type="http://schemas.openxmlformats.org/officeDocument/2006/relationships/hyperlink" Target="https://www.chipmall.com/product_detail/Yageo/Multilayer-Ceramic-Capacitors-MLCC-SMD-SMT/CC0805MKX5R8BB226_3052828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1"/>
  <sheetViews>
    <sheetView tabSelected="1" zoomScale="98" zoomScaleNormal="98" workbookViewId="0">
      <selection activeCell="A15" sqref="A15"/>
    </sheetView>
  </sheetViews>
  <sheetFormatPr defaultRowHeight="15" x14ac:dyDescent="0.25"/>
  <cols>
    <col min="1" max="1" width="6.140625" style="12" bestFit="1" customWidth="1"/>
    <col min="2" max="2" width="14.42578125" customWidth="1"/>
    <col min="3" max="3" width="31" bestFit="1" customWidth="1"/>
    <col min="4" max="4" width="38" bestFit="1" customWidth="1"/>
    <col min="5" max="5" width="21" bestFit="1" customWidth="1"/>
    <col min="6" max="6" width="29" bestFit="1" customWidth="1"/>
    <col min="7" max="7" width="19.140625" bestFit="1" customWidth="1"/>
    <col min="8" max="8" width="14.42578125" customWidth="1"/>
    <col min="9" max="9" width="26.85546875" bestFit="1" customWidth="1"/>
    <col min="10" max="10" width="6.140625" bestFit="1" customWidth="1"/>
    <col min="11" max="11" width="11.5703125" bestFit="1" customWidth="1"/>
    <col min="12" max="12" width="21.85546875" bestFit="1" customWidth="1"/>
    <col min="13" max="13" width="14.140625" bestFit="1" customWidth="1"/>
    <col min="14" max="14" width="10.28515625" bestFit="1" customWidth="1"/>
    <col min="15" max="15" width="12.7109375" bestFit="1" customWidth="1"/>
    <col min="16" max="17" width="13.42578125" bestFit="1" customWidth="1"/>
    <col min="18" max="18" width="15.7109375" bestFit="1" customWidth="1"/>
    <col min="19" max="19" width="16.5703125" bestFit="1" customWidth="1"/>
    <col min="20" max="20" width="51" bestFit="1" customWidth="1"/>
  </cols>
  <sheetData>
    <row r="1" spans="1:22" ht="16.5" thickBot="1" x14ac:dyDescent="0.3">
      <c r="A1" s="31" t="s">
        <v>238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</row>
    <row r="2" spans="1:22" ht="16.5" thickBot="1" x14ac:dyDescent="0.3">
      <c r="A2" s="16" t="s">
        <v>0</v>
      </c>
      <c r="B2" s="25" t="s">
        <v>1</v>
      </c>
      <c r="C2" s="26" t="s">
        <v>2</v>
      </c>
      <c r="D2" s="26" t="s">
        <v>3</v>
      </c>
      <c r="E2" s="26" t="s">
        <v>4</v>
      </c>
      <c r="F2" s="26" t="s">
        <v>5</v>
      </c>
      <c r="G2" s="26" t="s">
        <v>6</v>
      </c>
      <c r="H2" s="26" t="s">
        <v>7</v>
      </c>
      <c r="I2" s="26" t="s">
        <v>8</v>
      </c>
      <c r="J2" s="26" t="s">
        <v>9</v>
      </c>
      <c r="K2" s="26" t="s">
        <v>10</v>
      </c>
      <c r="L2" s="26" t="s">
        <v>11</v>
      </c>
      <c r="M2" s="26" t="s">
        <v>110</v>
      </c>
      <c r="N2" s="27" t="s">
        <v>59</v>
      </c>
      <c r="O2" s="22" t="s">
        <v>12</v>
      </c>
      <c r="P2" s="22" t="s">
        <v>13</v>
      </c>
      <c r="Q2" s="22" t="s">
        <v>60</v>
      </c>
      <c r="R2" s="22" t="s">
        <v>108</v>
      </c>
      <c r="S2" s="23" t="s">
        <v>109</v>
      </c>
      <c r="T2" s="26" t="s">
        <v>14</v>
      </c>
    </row>
    <row r="3" spans="1:22" ht="15.75" thickBot="1" x14ac:dyDescent="0.3">
      <c r="A3" s="24">
        <v>1</v>
      </c>
      <c r="B3" s="45" t="s">
        <v>15</v>
      </c>
      <c r="C3" s="28" t="s">
        <v>61</v>
      </c>
      <c r="D3" s="8" t="s">
        <v>62</v>
      </c>
      <c r="E3" s="5" t="s">
        <v>16</v>
      </c>
      <c r="F3" s="5" t="s">
        <v>63</v>
      </c>
      <c r="G3" s="5" t="s">
        <v>64</v>
      </c>
      <c r="H3" s="9" t="s">
        <v>239</v>
      </c>
      <c r="I3" s="60" t="s">
        <v>53</v>
      </c>
      <c r="J3" s="5" t="s">
        <v>29</v>
      </c>
      <c r="K3" s="36">
        <v>485</v>
      </c>
      <c r="L3" s="2">
        <v>4</v>
      </c>
      <c r="M3" s="36">
        <f>L3*110*1.1</f>
        <v>484.00000000000006</v>
      </c>
      <c r="N3" s="71" t="s">
        <v>19</v>
      </c>
      <c r="O3" s="38">
        <v>0.13150000000000001</v>
      </c>
      <c r="P3" s="70">
        <f>O3*L3</f>
        <v>0.52600000000000002</v>
      </c>
      <c r="Q3" s="70">
        <f>R3*K3</f>
        <v>46.414499999999997</v>
      </c>
      <c r="R3" s="38">
        <v>9.5699999999999993E-2</v>
      </c>
      <c r="S3" s="70">
        <f>R3*M3</f>
        <v>46.318800000000003</v>
      </c>
      <c r="T3" s="36"/>
      <c r="U3" s="3"/>
      <c r="V3" s="3"/>
    </row>
    <row r="4" spans="1:22" ht="15.75" thickBot="1" x14ac:dyDescent="0.3">
      <c r="A4" s="24">
        <v>2</v>
      </c>
      <c r="B4" s="46"/>
      <c r="C4" s="28" t="s">
        <v>65</v>
      </c>
      <c r="D4" s="8" t="s">
        <v>66</v>
      </c>
      <c r="E4" s="5" t="s">
        <v>30</v>
      </c>
      <c r="F4" s="5" t="s">
        <v>67</v>
      </c>
      <c r="G4" s="5" t="s">
        <v>41</v>
      </c>
      <c r="H4" s="9" t="s">
        <v>53</v>
      </c>
      <c r="I4" s="8" t="s">
        <v>53</v>
      </c>
      <c r="J4" s="5" t="s">
        <v>101</v>
      </c>
      <c r="K4" s="41" t="s">
        <v>53</v>
      </c>
      <c r="L4" s="6">
        <v>1</v>
      </c>
      <c r="M4" s="36">
        <f t="shared" ref="M4:M50" si="0">L4*110*1.1</f>
        <v>121.00000000000001</v>
      </c>
      <c r="N4" s="71" t="s">
        <v>240</v>
      </c>
      <c r="O4" s="38">
        <v>0.67335999999999996</v>
      </c>
      <c r="P4" s="70">
        <f>O4*L4</f>
        <v>0.67335999999999996</v>
      </c>
      <c r="Q4" s="70">
        <f>R4*M4</f>
        <v>63.08456000000001</v>
      </c>
      <c r="R4" s="40">
        <v>0.52136000000000005</v>
      </c>
      <c r="S4" s="70">
        <f>R4*M4</f>
        <v>63.08456000000001</v>
      </c>
      <c r="T4" s="36"/>
      <c r="U4" s="3"/>
      <c r="V4" s="3"/>
    </row>
    <row r="5" spans="1:22" ht="15.75" thickBot="1" x14ac:dyDescent="0.3">
      <c r="A5" s="24">
        <v>3</v>
      </c>
      <c r="B5" s="46"/>
      <c r="C5" s="28" t="s">
        <v>68</v>
      </c>
      <c r="D5" s="8" t="s">
        <v>69</v>
      </c>
      <c r="E5" s="5" t="s">
        <v>16</v>
      </c>
      <c r="F5" s="5" t="s">
        <v>70</v>
      </c>
      <c r="G5" s="5" t="s">
        <v>28</v>
      </c>
      <c r="H5" s="5" t="s">
        <v>242</v>
      </c>
      <c r="I5" s="41" t="s">
        <v>241</v>
      </c>
      <c r="J5" s="5" t="s">
        <v>102</v>
      </c>
      <c r="K5" s="36">
        <v>150</v>
      </c>
      <c r="L5" s="6">
        <v>1</v>
      </c>
      <c r="M5" s="36">
        <f t="shared" si="0"/>
        <v>121.00000000000001</v>
      </c>
      <c r="N5" s="71" t="s">
        <v>19</v>
      </c>
      <c r="O5" s="38">
        <v>1.6799999999999999E-2</v>
      </c>
      <c r="P5" s="70">
        <f>O5*L5</f>
        <v>1.6799999999999999E-2</v>
      </c>
      <c r="Q5" s="70">
        <f>R5*K5</f>
        <v>2.52</v>
      </c>
      <c r="R5" s="38">
        <v>1.6799999999999999E-2</v>
      </c>
      <c r="S5" s="70">
        <f>R5*M5</f>
        <v>2.0327999999999999</v>
      </c>
      <c r="T5" s="72" t="s">
        <v>244</v>
      </c>
      <c r="U5" s="3"/>
      <c r="V5" s="3"/>
    </row>
    <row r="6" spans="1:22" ht="15.75" thickBot="1" x14ac:dyDescent="0.3">
      <c r="A6" s="24">
        <v>4</v>
      </c>
      <c r="B6" s="46"/>
      <c r="C6" s="28" t="s">
        <v>71</v>
      </c>
      <c r="D6" s="8" t="s">
        <v>72</v>
      </c>
      <c r="E6" s="5" t="s">
        <v>73</v>
      </c>
      <c r="F6" s="5" t="s">
        <v>74</v>
      </c>
      <c r="G6" s="5" t="s">
        <v>28</v>
      </c>
      <c r="H6" s="9" t="s">
        <v>243</v>
      </c>
      <c r="I6" s="41" t="s">
        <v>53</v>
      </c>
      <c r="J6" s="5" t="s">
        <v>103</v>
      </c>
      <c r="K6" s="36">
        <v>150</v>
      </c>
      <c r="L6" s="6">
        <v>1</v>
      </c>
      <c r="M6" s="36">
        <f t="shared" si="0"/>
        <v>121.00000000000001</v>
      </c>
      <c r="N6" s="61" t="s">
        <v>19</v>
      </c>
      <c r="O6" s="53">
        <v>7.7000000000000002E-3</v>
      </c>
      <c r="P6" s="70">
        <f>O6*L6</f>
        <v>7.7000000000000002E-3</v>
      </c>
      <c r="Q6" s="70">
        <f>R6*K6</f>
        <v>1.155</v>
      </c>
      <c r="R6" s="53">
        <v>7.7000000000000002E-3</v>
      </c>
      <c r="S6" s="70">
        <f>R6*M6</f>
        <v>0.93170000000000019</v>
      </c>
      <c r="T6" s="36"/>
      <c r="U6" s="3"/>
      <c r="V6" s="3"/>
    </row>
    <row r="7" spans="1:22" ht="15.75" thickBot="1" x14ac:dyDescent="0.3">
      <c r="A7" s="24">
        <v>5</v>
      </c>
      <c r="B7" s="46"/>
      <c r="C7" s="28" t="s">
        <v>20</v>
      </c>
      <c r="D7" s="8" t="s">
        <v>75</v>
      </c>
      <c r="E7" s="5" t="s">
        <v>21</v>
      </c>
      <c r="F7" s="5" t="s">
        <v>22</v>
      </c>
      <c r="G7" s="5" t="s">
        <v>28</v>
      </c>
      <c r="H7" s="5" t="s">
        <v>53</v>
      </c>
      <c r="I7" s="41" t="s">
        <v>53</v>
      </c>
      <c r="J7" s="5" t="s">
        <v>23</v>
      </c>
      <c r="K7" s="41" t="s">
        <v>53</v>
      </c>
      <c r="L7" s="6">
        <v>2</v>
      </c>
      <c r="M7" s="36">
        <f t="shared" si="0"/>
        <v>242.00000000000003</v>
      </c>
      <c r="N7" s="61" t="s">
        <v>240</v>
      </c>
      <c r="O7" s="38">
        <v>0.46481</v>
      </c>
      <c r="P7" s="70">
        <f>O7*L7</f>
        <v>0.92962</v>
      </c>
      <c r="Q7" s="70">
        <f>R7*M7</f>
        <v>72.28540000000001</v>
      </c>
      <c r="R7" s="38">
        <v>0.29870000000000002</v>
      </c>
      <c r="S7" s="70">
        <f>R7*M7</f>
        <v>72.28540000000001</v>
      </c>
      <c r="T7" s="54"/>
      <c r="U7" s="3"/>
      <c r="V7" s="3"/>
    </row>
    <row r="8" spans="1:22" ht="15.75" thickBot="1" x14ac:dyDescent="0.3">
      <c r="A8" s="24">
        <v>6</v>
      </c>
      <c r="B8" s="46"/>
      <c r="C8" s="28" t="s">
        <v>76</v>
      </c>
      <c r="D8" s="8" t="s">
        <v>77</v>
      </c>
      <c r="E8" s="5" t="s">
        <v>78</v>
      </c>
      <c r="F8" s="5" t="s">
        <v>79</v>
      </c>
      <c r="G8" s="5" t="s">
        <v>64</v>
      </c>
      <c r="H8" s="7" t="s">
        <v>245</v>
      </c>
      <c r="I8" s="41" t="s">
        <v>53</v>
      </c>
      <c r="J8" s="5" t="s">
        <v>104</v>
      </c>
      <c r="K8" s="36">
        <v>240</v>
      </c>
      <c r="L8" s="6">
        <v>2</v>
      </c>
      <c r="M8" s="36">
        <f t="shared" si="0"/>
        <v>242.00000000000003</v>
      </c>
      <c r="N8" s="61" t="s">
        <v>19</v>
      </c>
      <c r="O8" s="38">
        <v>0.52</v>
      </c>
      <c r="P8" s="39">
        <f>O8*L8</f>
        <v>1.04</v>
      </c>
      <c r="Q8" s="70">
        <f>R8*K8</f>
        <v>4.4639999999999995</v>
      </c>
      <c r="R8" s="38">
        <v>1.8599999999999998E-2</v>
      </c>
      <c r="S8" s="39">
        <f>R8*M8</f>
        <v>4.5011999999999999</v>
      </c>
      <c r="T8" s="36"/>
      <c r="U8" s="3"/>
      <c r="V8" s="3"/>
    </row>
    <row r="9" spans="1:22" ht="15.75" thickBot="1" x14ac:dyDescent="0.3">
      <c r="A9" s="24">
        <v>7</v>
      </c>
      <c r="B9" s="46"/>
      <c r="C9" s="28" t="s">
        <v>80</v>
      </c>
      <c r="D9" s="8" t="s">
        <v>81</v>
      </c>
      <c r="E9" s="5" t="s">
        <v>16</v>
      </c>
      <c r="F9" s="44" t="s">
        <v>82</v>
      </c>
      <c r="G9" s="5" t="s">
        <v>28</v>
      </c>
      <c r="H9" s="5" t="s">
        <v>246</v>
      </c>
      <c r="I9" s="8" t="s">
        <v>53</v>
      </c>
      <c r="J9" s="5" t="s">
        <v>105</v>
      </c>
      <c r="K9" s="36">
        <v>250</v>
      </c>
      <c r="L9" s="6">
        <v>2</v>
      </c>
      <c r="M9" s="36">
        <f t="shared" si="0"/>
        <v>242.00000000000003</v>
      </c>
      <c r="N9" s="61" t="s">
        <v>19</v>
      </c>
      <c r="O9" s="40">
        <v>1.5299999999999999E-2</v>
      </c>
      <c r="P9" s="39">
        <f>O9*L9</f>
        <v>3.0599999999999999E-2</v>
      </c>
      <c r="Q9" s="70">
        <f>R9*K9</f>
        <v>3.8249999999999997</v>
      </c>
      <c r="R9" s="40">
        <v>1.5299999999999999E-2</v>
      </c>
      <c r="S9" s="39">
        <f>R9*M9</f>
        <v>3.7026000000000003</v>
      </c>
      <c r="T9" s="36"/>
      <c r="U9" s="3"/>
      <c r="V9" s="3"/>
    </row>
    <row r="10" spans="1:22" ht="15.75" thickBot="1" x14ac:dyDescent="0.3">
      <c r="A10" s="24">
        <v>8</v>
      </c>
      <c r="B10" s="46"/>
      <c r="C10" s="28" t="s">
        <v>83</v>
      </c>
      <c r="D10" s="8" t="s">
        <v>84</v>
      </c>
      <c r="E10" s="5" t="s">
        <v>78</v>
      </c>
      <c r="F10" s="5" t="s">
        <v>85</v>
      </c>
      <c r="G10" s="5" t="s">
        <v>24</v>
      </c>
      <c r="H10" s="5" t="s">
        <v>247</v>
      </c>
      <c r="I10" s="73" t="s">
        <v>53</v>
      </c>
      <c r="J10" s="5" t="s">
        <v>29</v>
      </c>
      <c r="K10" s="36">
        <v>250</v>
      </c>
      <c r="L10" s="6">
        <v>2</v>
      </c>
      <c r="M10" s="36">
        <f t="shared" si="0"/>
        <v>242.00000000000003</v>
      </c>
      <c r="N10" s="61" t="s">
        <v>19</v>
      </c>
      <c r="O10" s="38">
        <v>3.7900000000000003E-2</v>
      </c>
      <c r="P10" s="39">
        <f>O10*L10</f>
        <v>7.5800000000000006E-2</v>
      </c>
      <c r="Q10" s="39">
        <f>R10*K10</f>
        <v>6.9750000000000005</v>
      </c>
      <c r="R10" s="40">
        <v>2.7900000000000001E-2</v>
      </c>
      <c r="S10" s="39">
        <f>R10*M10</f>
        <v>6.7518000000000011</v>
      </c>
      <c r="T10" s="54"/>
      <c r="U10" s="3"/>
      <c r="V10" s="3"/>
    </row>
    <row r="11" spans="1:22" ht="15.75" thickBot="1" x14ac:dyDescent="0.3">
      <c r="A11" s="24">
        <v>9</v>
      </c>
      <c r="B11" s="46"/>
      <c r="C11" s="28" t="s">
        <v>86</v>
      </c>
      <c r="D11" s="8" t="s">
        <v>87</v>
      </c>
      <c r="E11" s="5" t="s">
        <v>27</v>
      </c>
      <c r="F11" s="5" t="s">
        <v>88</v>
      </c>
      <c r="G11" s="5" t="s">
        <v>43</v>
      </c>
      <c r="H11" s="5" t="s">
        <v>53</v>
      </c>
      <c r="I11" s="73" t="s">
        <v>53</v>
      </c>
      <c r="J11" s="5" t="s">
        <v>26</v>
      </c>
      <c r="K11" s="41" t="s">
        <v>53</v>
      </c>
      <c r="L11" s="6">
        <v>4</v>
      </c>
      <c r="M11" s="36">
        <f t="shared" si="0"/>
        <v>484.00000000000006</v>
      </c>
      <c r="N11" s="61" t="s">
        <v>240</v>
      </c>
      <c r="O11" s="38">
        <v>0.12515999999999999</v>
      </c>
      <c r="P11" s="39">
        <f>O11*L11</f>
        <v>0.50063999999999997</v>
      </c>
      <c r="Q11" s="70">
        <f>R11*M11</f>
        <v>60.577440000000003</v>
      </c>
      <c r="R11" s="38">
        <v>0.12515999999999999</v>
      </c>
      <c r="S11" s="39">
        <f>R11*M11</f>
        <v>60.577440000000003</v>
      </c>
      <c r="T11" s="54"/>
      <c r="U11" s="3"/>
      <c r="V11" s="3"/>
    </row>
    <row r="12" spans="1:22" ht="26.25" thickBot="1" x14ac:dyDescent="0.3">
      <c r="A12" s="24">
        <v>10</v>
      </c>
      <c r="B12" s="46"/>
      <c r="C12" s="55" t="s">
        <v>89</v>
      </c>
      <c r="D12" s="60" t="s">
        <v>90</v>
      </c>
      <c r="E12" s="5" t="s">
        <v>16</v>
      </c>
      <c r="F12" s="8" t="s">
        <v>91</v>
      </c>
      <c r="G12" s="8" t="s">
        <v>43</v>
      </c>
      <c r="H12" s="41"/>
      <c r="I12" s="41"/>
      <c r="J12" s="8" t="s">
        <v>18</v>
      </c>
      <c r="K12" s="36"/>
      <c r="L12" s="63">
        <v>14</v>
      </c>
      <c r="M12" s="36">
        <f t="shared" si="0"/>
        <v>1694.0000000000002</v>
      </c>
      <c r="N12" s="42"/>
      <c r="O12" s="38"/>
      <c r="P12" s="39"/>
      <c r="Q12" s="39"/>
      <c r="R12" s="38"/>
      <c r="S12" s="39"/>
      <c r="T12" s="36"/>
      <c r="U12" s="3"/>
      <c r="V12" s="3"/>
    </row>
    <row r="13" spans="1:22" ht="15.75" thickBot="1" x14ac:dyDescent="0.3">
      <c r="A13" s="1">
        <v>11</v>
      </c>
      <c r="B13" s="46"/>
      <c r="C13" s="28" t="s">
        <v>92</v>
      </c>
      <c r="D13" s="8" t="s">
        <v>93</v>
      </c>
      <c r="E13" s="5" t="s">
        <v>16</v>
      </c>
      <c r="F13" s="5" t="s">
        <v>94</v>
      </c>
      <c r="G13" s="5" t="s">
        <v>28</v>
      </c>
      <c r="H13" s="7"/>
      <c r="I13" s="41"/>
      <c r="J13" s="5" t="s">
        <v>25</v>
      </c>
      <c r="K13" s="36"/>
      <c r="L13" s="6">
        <v>1</v>
      </c>
      <c r="M13" s="36">
        <f t="shared" si="0"/>
        <v>121.00000000000001</v>
      </c>
      <c r="N13" s="42"/>
      <c r="O13" s="38"/>
      <c r="P13" s="39"/>
      <c r="Q13" s="39"/>
      <c r="R13" s="38"/>
      <c r="S13" s="39"/>
      <c r="T13" s="56"/>
      <c r="U13" s="3"/>
      <c r="V13" s="3"/>
    </row>
    <row r="14" spans="1:22" ht="15.75" thickBot="1" x14ac:dyDescent="0.3">
      <c r="A14" s="1">
        <v>12</v>
      </c>
      <c r="B14" s="46"/>
      <c r="C14" s="28" t="s">
        <v>95</v>
      </c>
      <c r="D14" s="8" t="s">
        <v>96</v>
      </c>
      <c r="E14" s="5" t="s">
        <v>16</v>
      </c>
      <c r="F14" s="5" t="s">
        <v>97</v>
      </c>
      <c r="G14" s="5" t="s">
        <v>43</v>
      </c>
      <c r="H14" s="7"/>
      <c r="I14" s="41"/>
      <c r="J14" s="5" t="s">
        <v>106</v>
      </c>
      <c r="K14" s="36"/>
      <c r="L14" s="6">
        <v>1</v>
      </c>
      <c r="M14" s="36">
        <f t="shared" si="0"/>
        <v>121.00000000000001</v>
      </c>
      <c r="N14" s="42"/>
      <c r="O14" s="38"/>
      <c r="P14" s="39"/>
      <c r="Q14" s="39"/>
      <c r="R14" s="38"/>
      <c r="S14" s="39"/>
      <c r="T14" s="36"/>
      <c r="U14" s="3"/>
      <c r="V14" s="3"/>
    </row>
    <row r="15" spans="1:22" ht="15.75" thickBot="1" x14ac:dyDescent="0.3">
      <c r="A15" s="1">
        <v>13</v>
      </c>
      <c r="B15" s="47"/>
      <c r="C15" s="28" t="s">
        <v>98</v>
      </c>
      <c r="D15" s="8" t="s">
        <v>99</v>
      </c>
      <c r="E15" s="5" t="s">
        <v>73</v>
      </c>
      <c r="F15" s="5" t="s">
        <v>100</v>
      </c>
      <c r="G15" s="5" t="s">
        <v>28</v>
      </c>
      <c r="H15" s="7"/>
      <c r="I15" s="41"/>
      <c r="J15" s="5" t="s">
        <v>107</v>
      </c>
      <c r="K15" s="36"/>
      <c r="L15" s="10">
        <v>2</v>
      </c>
      <c r="M15" s="36">
        <f t="shared" si="0"/>
        <v>242.00000000000003</v>
      </c>
      <c r="N15" s="42"/>
      <c r="O15" s="38"/>
      <c r="P15" s="39"/>
      <c r="Q15" s="39"/>
      <c r="R15" s="38"/>
      <c r="S15" s="39"/>
      <c r="T15" s="36"/>
      <c r="U15" s="3"/>
      <c r="V15" s="3"/>
    </row>
    <row r="16" spans="1:22" ht="15.75" thickBot="1" x14ac:dyDescent="0.3">
      <c r="A16" s="1">
        <v>14</v>
      </c>
      <c r="B16" s="45" t="s">
        <v>31</v>
      </c>
      <c r="C16" s="28" t="s">
        <v>111</v>
      </c>
      <c r="D16" s="8" t="s">
        <v>112</v>
      </c>
      <c r="E16" s="5" t="s">
        <v>30</v>
      </c>
      <c r="F16" s="5" t="s">
        <v>113</v>
      </c>
      <c r="G16" s="5" t="s">
        <v>114</v>
      </c>
      <c r="H16" s="43"/>
      <c r="I16" s="41"/>
      <c r="J16" s="4"/>
      <c r="K16" s="36"/>
      <c r="L16" s="2">
        <v>2</v>
      </c>
      <c r="M16" s="36">
        <f t="shared" si="0"/>
        <v>242.00000000000003</v>
      </c>
      <c r="N16" s="42"/>
      <c r="O16" s="38"/>
      <c r="P16" s="39"/>
      <c r="Q16" s="39"/>
      <c r="R16" s="38"/>
      <c r="S16" s="39"/>
      <c r="T16" s="57"/>
      <c r="U16" s="3"/>
      <c r="V16" s="3"/>
    </row>
    <row r="17" spans="1:22" ht="51.75" thickBot="1" x14ac:dyDescent="0.3">
      <c r="A17" s="1">
        <v>15</v>
      </c>
      <c r="B17" s="47"/>
      <c r="C17" s="58" t="s">
        <v>115</v>
      </c>
      <c r="D17" s="60" t="s">
        <v>116</v>
      </c>
      <c r="E17" s="5" t="s">
        <v>30</v>
      </c>
      <c r="F17" s="5" t="s">
        <v>117</v>
      </c>
      <c r="G17" s="5" t="s">
        <v>118</v>
      </c>
      <c r="H17" s="35"/>
      <c r="I17" s="35"/>
      <c r="J17" s="4"/>
      <c r="K17" s="36"/>
      <c r="L17" s="10">
        <v>22</v>
      </c>
      <c r="M17" s="36">
        <f t="shared" si="0"/>
        <v>2662</v>
      </c>
      <c r="N17" s="42"/>
      <c r="O17" s="38"/>
      <c r="P17" s="39"/>
      <c r="Q17" s="39"/>
      <c r="R17" s="38"/>
      <c r="S17" s="39"/>
      <c r="T17" s="54"/>
      <c r="U17" s="3"/>
      <c r="V17" s="3"/>
    </row>
    <row r="18" spans="1:22" ht="15.75" thickBot="1" x14ac:dyDescent="0.3">
      <c r="A18" s="1">
        <v>16</v>
      </c>
      <c r="B18" s="48" t="s">
        <v>35</v>
      </c>
      <c r="C18" s="28" t="s">
        <v>119</v>
      </c>
      <c r="D18" s="8" t="s">
        <v>120</v>
      </c>
      <c r="E18" s="5" t="s">
        <v>30</v>
      </c>
      <c r="F18" s="5" t="s">
        <v>121</v>
      </c>
      <c r="G18" s="5" t="s">
        <v>122</v>
      </c>
      <c r="H18" s="43"/>
      <c r="I18" s="57"/>
      <c r="J18" s="8"/>
      <c r="K18" s="36"/>
      <c r="L18" s="2">
        <v>1</v>
      </c>
      <c r="M18" s="36">
        <f t="shared" si="0"/>
        <v>121.00000000000001</v>
      </c>
      <c r="N18" s="42"/>
      <c r="O18" s="38"/>
      <c r="P18" s="39"/>
      <c r="Q18" s="39"/>
      <c r="R18" s="38"/>
      <c r="S18" s="39"/>
      <c r="T18" s="56"/>
      <c r="U18" s="3"/>
      <c r="V18" s="3"/>
    </row>
    <row r="19" spans="1:22" ht="77.25" thickBot="1" x14ac:dyDescent="0.3">
      <c r="A19" s="1">
        <v>17</v>
      </c>
      <c r="B19" s="49"/>
      <c r="C19" s="55" t="s">
        <v>123</v>
      </c>
      <c r="D19" s="60" t="s">
        <v>124</v>
      </c>
      <c r="E19" s="5" t="s">
        <v>30</v>
      </c>
      <c r="F19" s="5" t="s">
        <v>36</v>
      </c>
      <c r="G19" s="5" t="s">
        <v>37</v>
      </c>
      <c r="H19" s="36"/>
      <c r="I19" s="43"/>
      <c r="J19" s="8"/>
      <c r="K19" s="36"/>
      <c r="L19" s="6">
        <v>45</v>
      </c>
      <c r="M19" s="36">
        <f t="shared" si="0"/>
        <v>5445</v>
      </c>
      <c r="N19" s="42"/>
      <c r="O19" s="38"/>
      <c r="P19" s="39"/>
      <c r="Q19" s="39"/>
      <c r="R19" s="38"/>
      <c r="S19" s="39"/>
      <c r="T19" s="36"/>
      <c r="U19" s="3"/>
      <c r="V19" s="3"/>
    </row>
    <row r="20" spans="1:22" ht="39" thickBot="1" x14ac:dyDescent="0.3">
      <c r="A20" s="1">
        <v>18</v>
      </c>
      <c r="B20" s="50"/>
      <c r="C20" s="28" t="s">
        <v>125</v>
      </c>
      <c r="D20" s="60" t="s">
        <v>126</v>
      </c>
      <c r="E20" s="5" t="s">
        <v>30</v>
      </c>
      <c r="F20" s="5" t="s">
        <v>127</v>
      </c>
      <c r="G20" s="5" t="s">
        <v>128</v>
      </c>
      <c r="H20" s="35"/>
      <c r="I20" s="43"/>
      <c r="J20" s="8"/>
      <c r="K20" s="36"/>
      <c r="L20" s="10">
        <v>20</v>
      </c>
      <c r="M20" s="36">
        <f t="shared" si="0"/>
        <v>2420</v>
      </c>
      <c r="N20" s="37"/>
      <c r="O20" s="38"/>
      <c r="P20" s="39"/>
      <c r="Q20" s="39"/>
      <c r="R20" s="38"/>
      <c r="S20" s="39"/>
      <c r="T20" s="36"/>
      <c r="U20" s="3"/>
      <c r="V20" s="3"/>
    </row>
    <row r="21" spans="1:22" ht="15.75" thickBot="1" x14ac:dyDescent="0.3">
      <c r="A21" s="1">
        <v>19</v>
      </c>
      <c r="B21" s="48" t="s">
        <v>32</v>
      </c>
      <c r="C21" s="28" t="s">
        <v>129</v>
      </c>
      <c r="D21" s="8" t="s">
        <v>130</v>
      </c>
      <c r="E21" s="5" t="s">
        <v>30</v>
      </c>
      <c r="F21" s="5" t="s">
        <v>131</v>
      </c>
      <c r="G21" s="5" t="s">
        <v>17</v>
      </c>
      <c r="H21" s="35"/>
      <c r="I21" s="35"/>
      <c r="J21" s="8"/>
      <c r="K21" s="36"/>
      <c r="L21" s="2">
        <v>1</v>
      </c>
      <c r="M21" s="36">
        <f t="shared" si="0"/>
        <v>121.00000000000001</v>
      </c>
      <c r="N21" s="37"/>
      <c r="O21" s="38"/>
      <c r="P21" s="39"/>
      <c r="Q21" s="39"/>
      <c r="R21" s="38"/>
      <c r="S21" s="39"/>
      <c r="T21" s="36"/>
      <c r="U21" s="3"/>
      <c r="V21" s="3"/>
    </row>
    <row r="22" spans="1:22" ht="15.75" thickBot="1" x14ac:dyDescent="0.3">
      <c r="A22" s="1">
        <v>20</v>
      </c>
      <c r="B22" s="49"/>
      <c r="C22" s="59" t="s">
        <v>132</v>
      </c>
      <c r="D22" s="8" t="s">
        <v>33</v>
      </c>
      <c r="E22" s="8" t="s">
        <v>30</v>
      </c>
      <c r="F22" s="8" t="s">
        <v>133</v>
      </c>
      <c r="G22" s="8" t="s">
        <v>134</v>
      </c>
      <c r="H22" s="35"/>
      <c r="I22" s="43"/>
      <c r="J22" s="8"/>
      <c r="K22" s="36"/>
      <c r="L22" s="64">
        <v>1</v>
      </c>
      <c r="M22" s="36">
        <f t="shared" si="0"/>
        <v>121.00000000000001</v>
      </c>
      <c r="N22" s="37"/>
      <c r="O22" s="38"/>
      <c r="P22" s="39"/>
      <c r="Q22" s="39"/>
      <c r="R22" s="38"/>
      <c r="S22" s="39"/>
      <c r="T22" s="36"/>
      <c r="U22" s="3"/>
      <c r="V22" s="3"/>
    </row>
    <row r="23" spans="1:22" ht="15.75" thickBot="1" x14ac:dyDescent="0.3">
      <c r="A23" s="1">
        <v>21</v>
      </c>
      <c r="B23" s="50"/>
      <c r="C23" s="34" t="s">
        <v>135</v>
      </c>
      <c r="D23" s="8" t="s">
        <v>136</v>
      </c>
      <c r="E23" s="8" t="s">
        <v>30</v>
      </c>
      <c r="F23" s="8" t="s">
        <v>137</v>
      </c>
      <c r="G23" s="8" t="s">
        <v>138</v>
      </c>
      <c r="H23" s="35"/>
      <c r="I23" s="8"/>
      <c r="J23" s="8"/>
      <c r="K23" s="36"/>
      <c r="L23" s="10">
        <v>1</v>
      </c>
      <c r="M23" s="36">
        <f t="shared" si="0"/>
        <v>121.00000000000001</v>
      </c>
      <c r="N23" s="42"/>
      <c r="O23" s="38"/>
      <c r="P23" s="39"/>
      <c r="Q23" s="39"/>
      <c r="R23" s="38"/>
      <c r="S23" s="39"/>
      <c r="T23" s="36"/>
      <c r="U23" s="3"/>
      <c r="V23" s="3"/>
    </row>
    <row r="24" spans="1:22" ht="15.75" thickBot="1" x14ac:dyDescent="0.3">
      <c r="A24" s="1">
        <v>22</v>
      </c>
      <c r="B24" s="51" t="s">
        <v>222</v>
      </c>
      <c r="C24" s="34" t="s">
        <v>139</v>
      </c>
      <c r="D24" s="8" t="s">
        <v>140</v>
      </c>
      <c r="E24" s="8" t="s">
        <v>30</v>
      </c>
      <c r="F24" s="8" t="s">
        <v>141</v>
      </c>
      <c r="G24" s="8" t="s">
        <v>142</v>
      </c>
      <c r="H24" s="35"/>
      <c r="I24" s="8"/>
      <c r="J24" s="8"/>
      <c r="K24" s="8"/>
      <c r="L24" s="65">
        <v>1</v>
      </c>
      <c r="M24" s="36">
        <f t="shared" si="0"/>
        <v>121.00000000000001</v>
      </c>
      <c r="N24" s="42"/>
      <c r="O24" s="38"/>
      <c r="P24" s="39"/>
      <c r="Q24" s="39"/>
      <c r="R24" s="38"/>
      <c r="S24" s="39"/>
      <c r="T24" s="36"/>
      <c r="U24" s="3"/>
      <c r="V24" s="3"/>
    </row>
    <row r="25" spans="1:22" ht="15.75" thickBot="1" x14ac:dyDescent="0.3">
      <c r="A25" s="1">
        <v>23</v>
      </c>
      <c r="B25" s="48" t="s">
        <v>223</v>
      </c>
      <c r="C25" s="34" t="s">
        <v>143</v>
      </c>
      <c r="D25" s="8" t="s">
        <v>144</v>
      </c>
      <c r="E25" s="8" t="s">
        <v>30</v>
      </c>
      <c r="F25" s="8" t="s">
        <v>145</v>
      </c>
      <c r="G25" s="8" t="s">
        <v>146</v>
      </c>
      <c r="H25" s="35"/>
      <c r="I25" s="8"/>
      <c r="J25" s="8"/>
      <c r="K25" s="8"/>
      <c r="L25" s="11">
        <v>1</v>
      </c>
      <c r="M25" s="36">
        <f t="shared" si="0"/>
        <v>121.00000000000001</v>
      </c>
      <c r="N25" s="42"/>
      <c r="O25" s="38"/>
      <c r="P25" s="39"/>
      <c r="Q25" s="39"/>
      <c r="R25" s="38"/>
      <c r="S25" s="39"/>
      <c r="T25" s="36"/>
      <c r="U25" s="3"/>
      <c r="V25" s="3"/>
    </row>
    <row r="26" spans="1:22" ht="15.75" thickBot="1" x14ac:dyDescent="0.3">
      <c r="A26" s="1">
        <v>24</v>
      </c>
      <c r="B26" s="49"/>
      <c r="C26" s="34" t="s">
        <v>147</v>
      </c>
      <c r="D26" s="8" t="s">
        <v>148</v>
      </c>
      <c r="E26" s="8" t="s">
        <v>30</v>
      </c>
      <c r="F26" s="8" t="s">
        <v>149</v>
      </c>
      <c r="G26" s="8" t="s">
        <v>150</v>
      </c>
      <c r="H26" s="35"/>
      <c r="I26" s="8"/>
      <c r="J26" s="8"/>
      <c r="K26" s="8"/>
      <c r="L26" s="66">
        <v>1</v>
      </c>
      <c r="M26" s="36">
        <f t="shared" si="0"/>
        <v>121.00000000000001</v>
      </c>
      <c r="N26" s="42"/>
      <c r="O26" s="38"/>
      <c r="P26" s="39"/>
      <c r="Q26" s="39"/>
      <c r="R26" s="38"/>
      <c r="S26" s="39"/>
      <c r="T26" s="36"/>
      <c r="U26" s="3"/>
      <c r="V26" s="3"/>
    </row>
    <row r="27" spans="1:22" ht="77.25" thickBot="1" x14ac:dyDescent="0.3">
      <c r="A27" s="1">
        <v>25</v>
      </c>
      <c r="B27" s="48" t="s">
        <v>38</v>
      </c>
      <c r="C27" s="59" t="s">
        <v>151</v>
      </c>
      <c r="D27" s="60" t="s">
        <v>152</v>
      </c>
      <c r="E27" s="8" t="s">
        <v>39</v>
      </c>
      <c r="F27" s="8" t="s">
        <v>153</v>
      </c>
      <c r="G27" s="8" t="s">
        <v>43</v>
      </c>
      <c r="H27" s="35"/>
      <c r="I27" s="8"/>
      <c r="J27" s="8" t="s">
        <v>44</v>
      </c>
      <c r="K27" s="8"/>
      <c r="L27" s="2">
        <v>46</v>
      </c>
      <c r="M27" s="36">
        <f t="shared" si="0"/>
        <v>5566</v>
      </c>
      <c r="N27" s="42"/>
      <c r="O27" s="38"/>
      <c r="P27" s="39"/>
      <c r="Q27" s="39"/>
      <c r="R27" s="38"/>
      <c r="S27" s="39"/>
      <c r="T27" s="36"/>
      <c r="U27" s="3"/>
      <c r="V27" s="3"/>
    </row>
    <row r="28" spans="1:22" ht="15.75" thickBot="1" x14ac:dyDescent="0.3">
      <c r="A28" s="1">
        <v>26</v>
      </c>
      <c r="B28" s="49"/>
      <c r="C28" s="34" t="s">
        <v>154</v>
      </c>
      <c r="D28" s="8" t="s">
        <v>155</v>
      </c>
      <c r="E28" s="8" t="s">
        <v>39</v>
      </c>
      <c r="F28" s="8" t="s">
        <v>156</v>
      </c>
      <c r="G28" s="8" t="s">
        <v>43</v>
      </c>
      <c r="H28" s="35"/>
      <c r="I28" s="8"/>
      <c r="J28" s="8" t="s">
        <v>225</v>
      </c>
      <c r="K28" s="8"/>
      <c r="L28" s="6">
        <v>1</v>
      </c>
      <c r="M28" s="36">
        <f t="shared" si="0"/>
        <v>121.00000000000001</v>
      </c>
      <c r="N28" s="42"/>
      <c r="O28" s="38"/>
      <c r="P28" s="39"/>
      <c r="Q28" s="39"/>
      <c r="R28" s="38"/>
      <c r="S28" s="39"/>
      <c r="T28" s="36"/>
      <c r="U28" s="3"/>
      <c r="V28" s="3"/>
    </row>
    <row r="29" spans="1:22" ht="15.75" thickBot="1" x14ac:dyDescent="0.3">
      <c r="A29" s="1">
        <v>27</v>
      </c>
      <c r="B29" s="49"/>
      <c r="C29" s="34" t="s">
        <v>157</v>
      </c>
      <c r="D29" s="8" t="s">
        <v>158</v>
      </c>
      <c r="E29" s="8" t="s">
        <v>46</v>
      </c>
      <c r="F29" s="8" t="s">
        <v>159</v>
      </c>
      <c r="G29" s="8" t="s">
        <v>43</v>
      </c>
      <c r="H29" s="35"/>
      <c r="I29" s="8"/>
      <c r="J29" s="8" t="s">
        <v>226</v>
      </c>
      <c r="K29" s="8"/>
      <c r="L29" s="6">
        <v>5</v>
      </c>
      <c r="M29" s="36">
        <f t="shared" si="0"/>
        <v>605</v>
      </c>
      <c r="N29" s="42"/>
      <c r="O29" s="38"/>
      <c r="P29" s="39"/>
      <c r="Q29" s="39"/>
      <c r="R29" s="38"/>
      <c r="S29" s="39"/>
      <c r="T29" s="36"/>
      <c r="U29" s="3"/>
      <c r="V29" s="3"/>
    </row>
    <row r="30" spans="1:22" ht="15.75" thickBot="1" x14ac:dyDescent="0.3">
      <c r="A30" s="1">
        <v>28</v>
      </c>
      <c r="B30" s="49"/>
      <c r="C30" s="34" t="s">
        <v>160</v>
      </c>
      <c r="D30" s="8" t="s">
        <v>40</v>
      </c>
      <c r="E30" s="8" t="s">
        <v>39</v>
      </c>
      <c r="F30" s="8" t="s">
        <v>161</v>
      </c>
      <c r="G30" s="8" t="s">
        <v>43</v>
      </c>
      <c r="H30" s="35"/>
      <c r="I30" s="35"/>
      <c r="J30" s="8" t="s">
        <v>227</v>
      </c>
      <c r="K30" s="8"/>
      <c r="L30" s="6">
        <v>1</v>
      </c>
      <c r="M30" s="36">
        <f t="shared" si="0"/>
        <v>121.00000000000001</v>
      </c>
      <c r="N30" s="42"/>
      <c r="O30" s="38"/>
      <c r="P30" s="39"/>
      <c r="Q30" s="39"/>
      <c r="R30" s="38"/>
      <c r="S30" s="39"/>
      <c r="T30" s="36"/>
      <c r="U30" s="3"/>
      <c r="V30" s="3"/>
    </row>
    <row r="31" spans="1:22" ht="15.75" thickBot="1" x14ac:dyDescent="0.3">
      <c r="A31" s="1">
        <v>29</v>
      </c>
      <c r="B31" s="49"/>
      <c r="C31" s="34" t="s">
        <v>162</v>
      </c>
      <c r="D31" s="8" t="s">
        <v>163</v>
      </c>
      <c r="E31" s="8" t="s">
        <v>39</v>
      </c>
      <c r="F31" s="8" t="s">
        <v>164</v>
      </c>
      <c r="G31" s="8" t="s">
        <v>43</v>
      </c>
      <c r="H31" s="35"/>
      <c r="I31" s="35"/>
      <c r="J31" s="8" t="s">
        <v>228</v>
      </c>
      <c r="K31" s="36"/>
      <c r="L31" s="6">
        <v>2</v>
      </c>
      <c r="M31" s="36">
        <f t="shared" si="0"/>
        <v>242.00000000000003</v>
      </c>
      <c r="N31" s="37"/>
      <c r="O31" s="38"/>
      <c r="P31" s="39"/>
      <c r="Q31" s="39"/>
      <c r="R31" s="38"/>
      <c r="S31" s="39"/>
      <c r="T31" s="36"/>
      <c r="U31" s="3"/>
      <c r="V31" s="3"/>
    </row>
    <row r="32" spans="1:22" ht="15.75" thickBot="1" x14ac:dyDescent="0.3">
      <c r="A32" s="1">
        <v>30</v>
      </c>
      <c r="B32" s="49"/>
      <c r="C32" s="34" t="s">
        <v>165</v>
      </c>
      <c r="D32" s="8" t="s">
        <v>42</v>
      </c>
      <c r="E32" s="8" t="s">
        <v>39</v>
      </c>
      <c r="F32" s="8" t="s">
        <v>166</v>
      </c>
      <c r="G32" s="8" t="s">
        <v>43</v>
      </c>
      <c r="H32" s="35"/>
      <c r="I32" s="41"/>
      <c r="J32" s="8" t="s">
        <v>229</v>
      </c>
      <c r="K32" s="36"/>
      <c r="L32" s="6">
        <v>1</v>
      </c>
      <c r="M32" s="36">
        <f t="shared" si="0"/>
        <v>121.00000000000001</v>
      </c>
      <c r="N32" s="37"/>
      <c r="O32" s="38"/>
      <c r="P32" s="39"/>
      <c r="Q32" s="39"/>
      <c r="R32" s="38"/>
      <c r="S32" s="39"/>
      <c r="T32" s="36"/>
      <c r="U32" s="3"/>
      <c r="V32" s="3"/>
    </row>
    <row r="33" spans="1:22" ht="15.75" thickBot="1" x14ac:dyDescent="0.3">
      <c r="A33" s="1">
        <v>31</v>
      </c>
      <c r="B33" s="49"/>
      <c r="C33" s="34" t="s">
        <v>167</v>
      </c>
      <c r="D33" s="8" t="s">
        <v>168</v>
      </c>
      <c r="E33" s="8" t="s">
        <v>39</v>
      </c>
      <c r="F33" s="8" t="s">
        <v>169</v>
      </c>
      <c r="G33" s="8" t="s">
        <v>43</v>
      </c>
      <c r="H33" s="35"/>
      <c r="I33" s="43"/>
      <c r="J33" s="8" t="s">
        <v>230</v>
      </c>
      <c r="K33" s="36"/>
      <c r="L33" s="6">
        <v>1</v>
      </c>
      <c r="M33" s="36">
        <f t="shared" si="0"/>
        <v>121.00000000000001</v>
      </c>
      <c r="N33" s="37"/>
      <c r="O33" s="38"/>
      <c r="P33" s="39"/>
      <c r="Q33" s="39"/>
      <c r="R33" s="38"/>
      <c r="S33" s="39"/>
      <c r="T33" s="36"/>
      <c r="U33" s="3"/>
      <c r="V33" s="3"/>
    </row>
    <row r="34" spans="1:22" ht="15.75" thickBot="1" x14ac:dyDescent="0.3">
      <c r="A34" s="1">
        <v>32</v>
      </c>
      <c r="B34" s="49"/>
      <c r="C34" s="34" t="s">
        <v>170</v>
      </c>
      <c r="D34" s="8" t="s">
        <v>171</v>
      </c>
      <c r="E34" s="8" t="s">
        <v>39</v>
      </c>
      <c r="F34" s="8" t="s">
        <v>172</v>
      </c>
      <c r="G34" s="8" t="s">
        <v>173</v>
      </c>
      <c r="H34" s="35"/>
      <c r="I34" s="8"/>
      <c r="J34" s="8" t="s">
        <v>231</v>
      </c>
      <c r="K34" s="36"/>
      <c r="L34" s="6">
        <v>5</v>
      </c>
      <c r="M34" s="36">
        <f t="shared" si="0"/>
        <v>605</v>
      </c>
      <c r="N34" s="37"/>
      <c r="O34" s="38"/>
      <c r="P34" s="39"/>
      <c r="Q34" s="39"/>
      <c r="R34" s="38"/>
      <c r="S34" s="39"/>
      <c r="T34" s="36"/>
      <c r="U34" s="3"/>
      <c r="V34" s="3"/>
    </row>
    <row r="35" spans="1:22" ht="15.75" thickBot="1" x14ac:dyDescent="0.3">
      <c r="A35" s="1">
        <v>33</v>
      </c>
      <c r="B35" s="49"/>
      <c r="C35" s="34" t="s">
        <v>174</v>
      </c>
      <c r="D35" s="8" t="s">
        <v>175</v>
      </c>
      <c r="E35" s="8" t="s">
        <v>39</v>
      </c>
      <c r="F35" s="8" t="s">
        <v>176</v>
      </c>
      <c r="G35" s="8" t="s">
        <v>177</v>
      </c>
      <c r="H35" s="35"/>
      <c r="I35" s="8"/>
      <c r="J35" s="8" t="s">
        <v>44</v>
      </c>
      <c r="K35" s="36"/>
      <c r="L35" s="6">
        <v>6</v>
      </c>
      <c r="M35" s="36">
        <f t="shared" si="0"/>
        <v>726.00000000000011</v>
      </c>
      <c r="N35" s="37"/>
      <c r="O35" s="38"/>
      <c r="P35" s="39"/>
      <c r="Q35" s="39"/>
      <c r="R35" s="38"/>
      <c r="S35" s="39"/>
      <c r="T35" s="36"/>
      <c r="U35" s="3"/>
      <c r="V35" s="3"/>
    </row>
    <row r="36" spans="1:22" ht="15.75" thickBot="1" x14ac:dyDescent="0.3">
      <c r="A36" s="1">
        <v>34</v>
      </c>
      <c r="B36" s="49"/>
      <c r="C36" s="28" t="s">
        <v>178</v>
      </c>
      <c r="D36" s="8" t="s">
        <v>45</v>
      </c>
      <c r="E36" s="5" t="s">
        <v>39</v>
      </c>
      <c r="F36" s="5" t="s">
        <v>179</v>
      </c>
      <c r="G36" s="5" t="s">
        <v>43</v>
      </c>
      <c r="H36" s="35"/>
      <c r="I36" s="8"/>
      <c r="J36" s="5" t="s">
        <v>232</v>
      </c>
      <c r="K36" s="36"/>
      <c r="L36" s="6">
        <v>2</v>
      </c>
      <c r="M36" s="36">
        <f t="shared" si="0"/>
        <v>242.00000000000003</v>
      </c>
      <c r="N36" s="61"/>
      <c r="O36" s="62"/>
      <c r="P36" s="39"/>
      <c r="Q36" s="39"/>
      <c r="R36" s="62"/>
      <c r="S36" s="39"/>
      <c r="T36" s="54"/>
      <c r="U36" s="3"/>
      <c r="V36" s="3"/>
    </row>
    <row r="37" spans="1:22" ht="15.75" thickBot="1" x14ac:dyDescent="0.3">
      <c r="A37" s="1">
        <v>35</v>
      </c>
      <c r="B37" s="49"/>
      <c r="C37" s="28" t="s">
        <v>180</v>
      </c>
      <c r="D37" s="8" t="s">
        <v>181</v>
      </c>
      <c r="E37" s="5" t="s">
        <v>39</v>
      </c>
      <c r="F37" s="5" t="s">
        <v>182</v>
      </c>
      <c r="G37" s="5" t="s">
        <v>43</v>
      </c>
      <c r="H37" s="35"/>
      <c r="I37" s="8"/>
      <c r="J37" s="5" t="s">
        <v>233</v>
      </c>
      <c r="K37" s="36"/>
      <c r="L37" s="6">
        <v>4</v>
      </c>
      <c r="M37" s="36">
        <f t="shared" si="0"/>
        <v>484.00000000000006</v>
      </c>
      <c r="N37" s="42"/>
      <c r="O37" s="38"/>
      <c r="P37" s="39"/>
      <c r="Q37" s="39"/>
      <c r="R37" s="38"/>
      <c r="S37" s="39"/>
      <c r="T37" s="36"/>
      <c r="U37" s="3"/>
      <c r="V37" s="3"/>
    </row>
    <row r="38" spans="1:22" ht="39" thickBot="1" x14ac:dyDescent="0.3">
      <c r="A38" s="1">
        <v>36</v>
      </c>
      <c r="B38" s="49"/>
      <c r="C38" s="55" t="s">
        <v>183</v>
      </c>
      <c r="D38" s="60" t="s">
        <v>184</v>
      </c>
      <c r="E38" s="5" t="s">
        <v>39</v>
      </c>
      <c r="F38" s="5" t="s">
        <v>185</v>
      </c>
      <c r="G38" s="5" t="s">
        <v>43</v>
      </c>
      <c r="H38" s="35"/>
      <c r="I38" s="8"/>
      <c r="J38" s="5" t="s">
        <v>234</v>
      </c>
      <c r="K38" s="36"/>
      <c r="L38" s="6">
        <v>20</v>
      </c>
      <c r="M38" s="36">
        <f t="shared" si="0"/>
        <v>2420</v>
      </c>
      <c r="N38" s="42"/>
      <c r="O38" s="38"/>
      <c r="P38" s="39"/>
      <c r="Q38" s="39"/>
      <c r="R38" s="38"/>
      <c r="S38" s="39"/>
      <c r="T38" s="36"/>
      <c r="U38" s="3"/>
      <c r="V38" s="3"/>
    </row>
    <row r="39" spans="1:22" ht="15.75" thickBot="1" x14ac:dyDescent="0.3">
      <c r="A39" s="1">
        <v>37</v>
      </c>
      <c r="B39" s="49"/>
      <c r="C39" s="28" t="s">
        <v>186</v>
      </c>
      <c r="D39" s="8" t="s">
        <v>187</v>
      </c>
      <c r="E39" s="5" t="s">
        <v>39</v>
      </c>
      <c r="F39" s="5" t="s">
        <v>188</v>
      </c>
      <c r="G39" s="5" t="s">
        <v>43</v>
      </c>
      <c r="H39" s="35"/>
      <c r="I39" s="8"/>
      <c r="J39" s="5" t="s">
        <v>235</v>
      </c>
      <c r="K39" s="36"/>
      <c r="L39" s="6">
        <v>1</v>
      </c>
      <c r="M39" s="36">
        <f t="shared" si="0"/>
        <v>121.00000000000001</v>
      </c>
      <c r="N39" s="42"/>
      <c r="O39" s="38"/>
      <c r="P39" s="39"/>
      <c r="Q39" s="39"/>
      <c r="R39" s="38"/>
      <c r="S39" s="39"/>
      <c r="T39" s="54"/>
      <c r="U39" s="3"/>
      <c r="V39" s="3"/>
    </row>
    <row r="40" spans="1:22" ht="15.75" thickBot="1" x14ac:dyDescent="0.3">
      <c r="A40" s="1">
        <v>38</v>
      </c>
      <c r="B40" s="49"/>
      <c r="C40" s="28" t="s">
        <v>189</v>
      </c>
      <c r="D40" s="8" t="s">
        <v>190</v>
      </c>
      <c r="E40" s="5" t="s">
        <v>39</v>
      </c>
      <c r="F40" s="5" t="s">
        <v>191</v>
      </c>
      <c r="G40" s="5" t="s">
        <v>43</v>
      </c>
      <c r="H40" s="35"/>
      <c r="I40" s="8"/>
      <c r="J40" s="5" t="s">
        <v>236</v>
      </c>
      <c r="K40" s="36"/>
      <c r="L40" s="6">
        <v>4</v>
      </c>
      <c r="M40" s="36">
        <f t="shared" si="0"/>
        <v>484.00000000000006</v>
      </c>
      <c r="N40" s="42"/>
      <c r="O40" s="38"/>
      <c r="P40" s="39"/>
      <c r="Q40" s="39"/>
      <c r="R40" s="38"/>
      <c r="S40" s="39"/>
      <c r="T40" s="54"/>
      <c r="U40" s="3"/>
      <c r="V40" s="3"/>
    </row>
    <row r="41" spans="1:22" ht="39" thickBot="1" x14ac:dyDescent="0.3">
      <c r="A41" s="1">
        <v>39</v>
      </c>
      <c r="B41" s="50"/>
      <c r="C41" s="55" t="s">
        <v>192</v>
      </c>
      <c r="D41" s="60" t="s">
        <v>193</v>
      </c>
      <c r="E41" s="5" t="s">
        <v>39</v>
      </c>
      <c r="F41" s="8" t="s">
        <v>194</v>
      </c>
      <c r="G41" s="8" t="s">
        <v>43</v>
      </c>
      <c r="H41" s="35"/>
      <c r="I41" s="8"/>
      <c r="J41" s="8" t="s">
        <v>237</v>
      </c>
      <c r="K41" s="36"/>
      <c r="L41" s="67">
        <v>22</v>
      </c>
      <c r="M41" s="36">
        <f t="shared" si="0"/>
        <v>2662</v>
      </c>
      <c r="N41" s="42"/>
      <c r="O41" s="38"/>
      <c r="P41" s="39"/>
      <c r="Q41" s="39"/>
      <c r="R41" s="38"/>
      <c r="S41" s="39"/>
      <c r="T41" s="56"/>
      <c r="U41" s="3"/>
      <c r="V41" s="3"/>
    </row>
    <row r="42" spans="1:22" ht="15.75" thickBot="1" x14ac:dyDescent="0.3">
      <c r="A42" s="1">
        <v>40</v>
      </c>
      <c r="B42" s="52" t="s">
        <v>224</v>
      </c>
      <c r="C42" s="34" t="s">
        <v>195</v>
      </c>
      <c r="D42" s="8" t="s">
        <v>196</v>
      </c>
      <c r="E42" s="8" t="s">
        <v>30</v>
      </c>
      <c r="F42" s="8" t="s">
        <v>197</v>
      </c>
      <c r="G42" s="8" t="s">
        <v>198</v>
      </c>
      <c r="H42" s="35"/>
      <c r="I42" s="8"/>
      <c r="J42" s="8"/>
      <c r="K42" s="36"/>
      <c r="L42" s="68">
        <v>1</v>
      </c>
      <c r="M42" s="36">
        <f t="shared" si="0"/>
        <v>121.00000000000001</v>
      </c>
      <c r="N42" s="42"/>
      <c r="O42" s="38"/>
      <c r="P42" s="39"/>
      <c r="Q42" s="39"/>
      <c r="R42" s="38"/>
      <c r="S42" s="39"/>
      <c r="T42" s="36"/>
      <c r="U42" s="3"/>
      <c r="V42" s="3"/>
    </row>
    <row r="43" spans="1:22" ht="15.75" thickBot="1" x14ac:dyDescent="0.3">
      <c r="A43" s="1">
        <v>41</v>
      </c>
      <c r="B43" s="48" t="s">
        <v>47</v>
      </c>
      <c r="C43" s="34" t="s">
        <v>199</v>
      </c>
      <c r="D43" s="8" t="s">
        <v>200</v>
      </c>
      <c r="E43" s="8" t="s">
        <v>30</v>
      </c>
      <c r="F43" s="8" t="s">
        <v>201</v>
      </c>
      <c r="G43" s="8" t="s">
        <v>48</v>
      </c>
      <c r="H43" s="35"/>
      <c r="I43" s="8"/>
      <c r="J43" s="8"/>
      <c r="K43" s="57"/>
      <c r="L43" s="11">
        <v>2</v>
      </c>
      <c r="M43" s="36">
        <f t="shared" si="0"/>
        <v>242.00000000000003</v>
      </c>
      <c r="N43" s="8"/>
      <c r="O43" s="39"/>
      <c r="P43" s="39"/>
      <c r="Q43" s="39"/>
      <c r="R43" s="39"/>
      <c r="S43" s="39"/>
      <c r="T43" s="56"/>
      <c r="U43" s="3"/>
      <c r="V43" s="3"/>
    </row>
    <row r="44" spans="1:22" ht="15.75" thickBot="1" x14ac:dyDescent="0.3">
      <c r="A44" s="1">
        <v>42</v>
      </c>
      <c r="B44" s="49"/>
      <c r="C44" s="34" t="s">
        <v>202</v>
      </c>
      <c r="D44" s="8" t="s">
        <v>49</v>
      </c>
      <c r="E44" s="8" t="s">
        <v>30</v>
      </c>
      <c r="F44" s="8" t="s">
        <v>203</v>
      </c>
      <c r="G44" s="8" t="s">
        <v>204</v>
      </c>
      <c r="H44" s="35"/>
      <c r="I44" s="8"/>
      <c r="J44" s="8"/>
      <c r="K44" s="36"/>
      <c r="L44" s="6">
        <v>1</v>
      </c>
      <c r="M44" s="36">
        <f t="shared" si="0"/>
        <v>121.00000000000001</v>
      </c>
      <c r="N44" s="42"/>
      <c r="O44" s="38"/>
      <c r="P44" s="39"/>
      <c r="Q44" s="39"/>
      <c r="R44" s="38"/>
      <c r="S44" s="39"/>
      <c r="T44" s="36"/>
      <c r="U44" s="3"/>
      <c r="V44" s="3"/>
    </row>
    <row r="45" spans="1:22" ht="15.75" thickBot="1" x14ac:dyDescent="0.3">
      <c r="A45" s="1">
        <v>43</v>
      </c>
      <c r="B45" s="49"/>
      <c r="C45" s="34" t="s">
        <v>205</v>
      </c>
      <c r="D45" s="8" t="s">
        <v>50</v>
      </c>
      <c r="E45" s="8" t="s">
        <v>30</v>
      </c>
      <c r="F45" s="8" t="s">
        <v>206</v>
      </c>
      <c r="G45" s="8" t="s">
        <v>207</v>
      </c>
      <c r="H45" s="35"/>
      <c r="I45" s="8"/>
      <c r="J45" s="8"/>
      <c r="K45" s="36"/>
      <c r="L45" s="6">
        <v>1</v>
      </c>
      <c r="M45" s="36">
        <f t="shared" si="0"/>
        <v>121.00000000000001</v>
      </c>
      <c r="N45" s="42"/>
      <c r="O45" s="38"/>
      <c r="P45" s="39"/>
      <c r="Q45" s="39"/>
      <c r="R45" s="38"/>
      <c r="S45" s="39"/>
      <c r="T45" s="36"/>
      <c r="U45" s="3"/>
      <c r="V45" s="3"/>
    </row>
    <row r="46" spans="1:22" ht="15.75" thickBot="1" x14ac:dyDescent="0.3">
      <c r="A46" s="1">
        <v>44</v>
      </c>
      <c r="B46" s="50"/>
      <c r="C46" s="34" t="s">
        <v>208</v>
      </c>
      <c r="D46" s="8" t="s">
        <v>209</v>
      </c>
      <c r="E46" s="8" t="s">
        <v>30</v>
      </c>
      <c r="F46" s="8" t="s">
        <v>210</v>
      </c>
      <c r="G46" s="8" t="s">
        <v>211</v>
      </c>
      <c r="H46" s="43"/>
      <c r="I46" s="8"/>
      <c r="J46" s="8"/>
      <c r="K46" s="36"/>
      <c r="L46" s="66">
        <v>5</v>
      </c>
      <c r="M46" s="36">
        <f t="shared" si="0"/>
        <v>605</v>
      </c>
      <c r="N46" s="37"/>
      <c r="O46" s="38"/>
      <c r="P46" s="39"/>
      <c r="Q46" s="39"/>
      <c r="R46" s="38"/>
      <c r="S46" s="39"/>
      <c r="T46" s="36"/>
      <c r="U46" s="3"/>
      <c r="V46" s="3"/>
    </row>
    <row r="47" spans="1:22" ht="15.75" thickBot="1" x14ac:dyDescent="0.3">
      <c r="A47" s="1">
        <v>45</v>
      </c>
      <c r="B47" s="48" t="s">
        <v>51</v>
      </c>
      <c r="C47" s="34" t="s">
        <v>212</v>
      </c>
      <c r="D47" s="8" t="s">
        <v>213</v>
      </c>
      <c r="E47" s="8" t="s">
        <v>30</v>
      </c>
      <c r="F47" s="8" t="s">
        <v>55</v>
      </c>
      <c r="G47" s="8" t="s">
        <v>56</v>
      </c>
      <c r="H47" s="35"/>
      <c r="I47" s="8"/>
      <c r="J47" s="8"/>
      <c r="K47" s="36"/>
      <c r="L47" s="2">
        <v>1</v>
      </c>
      <c r="M47" s="36">
        <f t="shared" si="0"/>
        <v>121.00000000000001</v>
      </c>
      <c r="N47" s="37"/>
      <c r="O47" s="38"/>
      <c r="P47" s="39"/>
      <c r="Q47" s="39"/>
      <c r="R47" s="40"/>
      <c r="S47" s="39"/>
      <c r="T47" s="36"/>
      <c r="U47" s="3"/>
      <c r="V47" s="3"/>
    </row>
    <row r="48" spans="1:22" ht="15.75" thickBot="1" x14ac:dyDescent="0.3">
      <c r="A48" s="1">
        <v>46</v>
      </c>
      <c r="B48" s="49"/>
      <c r="C48" s="34" t="s">
        <v>214</v>
      </c>
      <c r="D48" s="8" t="s">
        <v>54</v>
      </c>
      <c r="E48" s="8" t="s">
        <v>30</v>
      </c>
      <c r="F48" s="8" t="s">
        <v>215</v>
      </c>
      <c r="G48" s="8" t="s">
        <v>216</v>
      </c>
      <c r="H48" s="43"/>
      <c r="I48" s="8"/>
      <c r="J48" s="8"/>
      <c r="K48" s="36"/>
      <c r="L48" s="69">
        <v>1</v>
      </c>
      <c r="M48" s="36">
        <f t="shared" si="0"/>
        <v>121.00000000000001</v>
      </c>
      <c r="N48" s="37"/>
      <c r="O48" s="38"/>
      <c r="P48" s="39"/>
      <c r="Q48" s="39"/>
      <c r="R48" s="38"/>
      <c r="S48" s="39"/>
      <c r="T48" s="56"/>
      <c r="U48" s="3"/>
      <c r="V48" s="3"/>
    </row>
    <row r="49" spans="1:22" ht="15.75" thickBot="1" x14ac:dyDescent="0.3">
      <c r="A49" s="1">
        <v>47</v>
      </c>
      <c r="B49" s="49"/>
      <c r="C49" s="34" t="s">
        <v>217</v>
      </c>
      <c r="D49" s="8" t="s">
        <v>218</v>
      </c>
      <c r="E49" s="8" t="s">
        <v>30</v>
      </c>
      <c r="F49" s="8" t="s">
        <v>219</v>
      </c>
      <c r="G49" s="8" t="s">
        <v>52</v>
      </c>
      <c r="H49" s="8"/>
      <c r="I49" s="8"/>
      <c r="J49" s="8"/>
      <c r="K49" s="8"/>
      <c r="L49" s="6">
        <v>2</v>
      </c>
      <c r="M49" s="36">
        <f t="shared" si="0"/>
        <v>242.00000000000003</v>
      </c>
      <c r="N49" s="37"/>
      <c r="O49" s="38"/>
      <c r="P49" s="39"/>
      <c r="Q49" s="39"/>
      <c r="R49" s="38"/>
      <c r="S49" s="39"/>
      <c r="T49" s="36"/>
      <c r="U49" s="3"/>
      <c r="V49" s="3"/>
    </row>
    <row r="50" spans="1:22" ht="15.75" thickBot="1" x14ac:dyDescent="0.3">
      <c r="A50" s="1">
        <v>48</v>
      </c>
      <c r="B50" s="50"/>
      <c r="C50" s="34" t="s">
        <v>220</v>
      </c>
      <c r="D50" s="8" t="s">
        <v>221</v>
      </c>
      <c r="E50" s="8" t="s">
        <v>220</v>
      </c>
      <c r="F50" s="60" t="s">
        <v>34</v>
      </c>
      <c r="G50" s="60" t="s">
        <v>34</v>
      </c>
      <c r="H50" s="35"/>
      <c r="I50" s="41"/>
      <c r="J50" s="8"/>
      <c r="K50" s="36"/>
      <c r="L50" s="29">
        <v>7</v>
      </c>
      <c r="M50" s="36">
        <f t="shared" si="0"/>
        <v>847.00000000000011</v>
      </c>
      <c r="N50" s="37"/>
      <c r="O50" s="38"/>
      <c r="P50" s="39"/>
      <c r="Q50" s="39"/>
      <c r="R50" s="38"/>
      <c r="S50" s="39"/>
      <c r="T50" s="36"/>
      <c r="U50" s="3"/>
      <c r="V50" s="3"/>
    </row>
    <row r="51" spans="1:22" ht="15.75" thickBot="1" x14ac:dyDescent="0.3">
      <c r="H51" s="17"/>
      <c r="I51" s="17"/>
      <c r="J51" s="17"/>
      <c r="K51" s="17"/>
      <c r="L51" s="33" t="s">
        <v>57</v>
      </c>
      <c r="M51" s="33"/>
      <c r="N51" s="33"/>
      <c r="O51" s="33"/>
      <c r="P51" s="21"/>
      <c r="Q51" s="21">
        <f>SUM(Q3:Q50)</f>
        <v>261.30090000000001</v>
      </c>
      <c r="R51" s="21"/>
      <c r="S51" s="13">
        <f>SUM(S3:S50)</f>
        <v>260.18630000000007</v>
      </c>
      <c r="T51" s="17"/>
      <c r="U51" s="3"/>
      <c r="V51" s="3"/>
    </row>
    <row r="52" spans="1:22" x14ac:dyDescent="0.25">
      <c r="H52" s="17"/>
      <c r="I52" s="17"/>
      <c r="J52" s="19"/>
      <c r="K52" s="17"/>
      <c r="L52" s="30" t="s">
        <v>58</v>
      </c>
      <c r="M52" s="30"/>
      <c r="N52" s="30"/>
      <c r="O52" s="30"/>
      <c r="P52" s="13">
        <f>SUM(P3:P50)</f>
        <v>3.8005200000000006</v>
      </c>
      <c r="Q52" s="13"/>
      <c r="R52" s="18"/>
      <c r="S52" s="20">
        <f>S51/5</f>
        <v>52.037260000000018</v>
      </c>
      <c r="T52" s="17"/>
      <c r="U52" s="3"/>
      <c r="V52" s="3"/>
    </row>
    <row r="53" spans="1:22" x14ac:dyDescent="0.25">
      <c r="I53" s="15"/>
      <c r="J53" s="15"/>
      <c r="U53" s="3"/>
      <c r="V53" s="3"/>
    </row>
    <row r="54" spans="1:22" x14ac:dyDescent="0.25">
      <c r="J54" s="14"/>
      <c r="U54" s="3"/>
      <c r="V54" s="3"/>
    </row>
    <row r="55" spans="1:22" x14ac:dyDescent="0.25">
      <c r="I55" s="15"/>
      <c r="J55" s="15"/>
      <c r="U55" s="3"/>
      <c r="V55" s="3"/>
    </row>
    <row r="56" spans="1:22" ht="15.75" customHeight="1" x14ac:dyDescent="0.25">
      <c r="U56" s="3"/>
      <c r="V56" s="3"/>
    </row>
    <row r="57" spans="1:22" x14ac:dyDescent="0.25">
      <c r="U57" s="3"/>
      <c r="V57" s="3"/>
    </row>
    <row r="58" spans="1:22" x14ac:dyDescent="0.25">
      <c r="U58" s="3"/>
      <c r="V58" s="3"/>
    </row>
    <row r="59" spans="1:22" x14ac:dyDescent="0.25">
      <c r="U59" s="3"/>
      <c r="V59" s="3"/>
    </row>
    <row r="60" spans="1:22" x14ac:dyDescent="0.25">
      <c r="U60" s="3"/>
      <c r="V60" s="3"/>
    </row>
    <row r="61" spans="1:22" x14ac:dyDescent="0.25">
      <c r="U61" s="3"/>
      <c r="V61" s="3"/>
    </row>
  </sheetData>
  <mergeCells count="11">
    <mergeCell ref="B27:B41"/>
    <mergeCell ref="B43:B46"/>
    <mergeCell ref="B47:B50"/>
    <mergeCell ref="L52:O52"/>
    <mergeCell ref="A1:T1"/>
    <mergeCell ref="L51:O51"/>
    <mergeCell ref="B16:B17"/>
    <mergeCell ref="B3:B15"/>
    <mergeCell ref="B18:B20"/>
    <mergeCell ref="B21:B23"/>
    <mergeCell ref="B25:B26"/>
  </mergeCells>
  <conditionalFormatting sqref="P52:S52">
    <cfRule type="dataBar" priority="3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{23C19627-CC72-4F8E-BAD3-5ABFD29CE306}</x14:id>
        </ext>
      </extLst>
    </cfRule>
  </conditionalFormatting>
  <conditionalFormatting sqref="T48">
    <cfRule type="dataBar" priority="3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{E93E5041-7595-4B70-A4DE-203BDFD45186}</x14:id>
        </ext>
      </extLst>
    </cfRule>
  </conditionalFormatting>
  <conditionalFormatting sqref="T43">
    <cfRule type="dataBar" priority="3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{42D61427-E480-4122-9D4D-A5235A436613}</x14:id>
        </ext>
      </extLst>
    </cfRule>
  </conditionalFormatting>
  <conditionalFormatting sqref="T41">
    <cfRule type="dataBar" priority="3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{301945FE-B701-4118-A9C3-5DA9DF529466}</x14:id>
        </ext>
      </extLst>
    </cfRule>
  </conditionalFormatting>
  <conditionalFormatting sqref="T18">
    <cfRule type="dataBar" priority="2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{C4FABE8D-C538-4F8C-AF3D-D761B6945538}</x14:id>
        </ext>
      </extLst>
    </cfRule>
  </conditionalFormatting>
  <conditionalFormatting sqref="T13">
    <cfRule type="dataBar" priority="2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{95C28DBC-1CBC-4CC5-8B31-E70202137348}</x14:id>
        </ext>
      </extLst>
    </cfRule>
  </conditionalFormatting>
  <conditionalFormatting sqref="N3:N5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{D0D7514C-12FE-4A4F-8D11-1841726592C8}</x14:id>
        </ext>
      </extLst>
    </cfRule>
  </conditionalFormatting>
  <conditionalFormatting sqref="N20:N22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{F0B90621-6DA6-4516-A516-05C42ACBDF1D}</x14:id>
        </ext>
      </extLst>
    </cfRule>
  </conditionalFormatting>
  <conditionalFormatting sqref="N31:N35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{3534E561-107E-40A4-8165-E983FF420B68}</x14:id>
        </ext>
      </extLst>
    </cfRule>
  </conditionalFormatting>
  <conditionalFormatting sqref="M3:M50">
    <cfRule type="colorScale" priority="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3:Q50">
    <cfRule type="dataBar" priority="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{CC5A7198-6EFD-4BBD-B2B4-FEA92BA29842}</x14:id>
        </ext>
      </extLst>
    </cfRule>
  </conditionalFormatting>
  <conditionalFormatting sqref="S3:S50">
    <cfRule type="dataBar" priority="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{C84B8479-0C38-4E8A-A10C-CE0A75F3F79C}</x14:id>
        </ext>
      </extLst>
    </cfRule>
  </conditionalFormatting>
  <conditionalFormatting sqref="N46:N50">
    <cfRule type="dataBar" priority="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{A402283A-49C9-49C3-9204-C80C4705ACAA}</x14:id>
        </ext>
      </extLst>
    </cfRule>
  </conditionalFormatting>
  <conditionalFormatting sqref="L3:L5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hyperlinks>
    <hyperlink ref="F9" tooltip="Manufacturer" display="'GCM1555C1H470JA16D"/>
    <hyperlink ref="N3" r:id="rId1"/>
    <hyperlink ref="N4" r:id="rId2"/>
    <hyperlink ref="N5" r:id="rId3"/>
    <hyperlink ref="N6" r:id="rId4"/>
    <hyperlink ref="N7" r:id="rId5"/>
    <hyperlink ref="N8" r:id="rId6"/>
    <hyperlink ref="N9" r:id="rId7"/>
    <hyperlink ref="N10" r:id="rId8"/>
    <hyperlink ref="N11" r:id="rId9"/>
  </hyperlinks>
  <pageMargins left="0.7" right="0.7" top="0.75" bottom="0.75" header="0.3" footer="0.3"/>
  <pageSetup orientation="portrait" r:id="rId1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3C19627-CC72-4F8E-BAD3-5ABFD29CE30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P52:S52</xm:sqref>
        </x14:conditionalFormatting>
        <x14:conditionalFormatting xmlns:xm="http://schemas.microsoft.com/office/excel/2006/main">
          <x14:cfRule type="dataBar" id="{E93E5041-7595-4B70-A4DE-203BDFD4518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T48</xm:sqref>
        </x14:conditionalFormatting>
        <x14:conditionalFormatting xmlns:xm="http://schemas.microsoft.com/office/excel/2006/main">
          <x14:cfRule type="dataBar" id="{42D61427-E480-4122-9D4D-A5235A43661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T43</xm:sqref>
        </x14:conditionalFormatting>
        <x14:conditionalFormatting xmlns:xm="http://schemas.microsoft.com/office/excel/2006/main">
          <x14:cfRule type="dataBar" id="{301945FE-B701-4118-A9C3-5DA9DF52946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T41</xm:sqref>
        </x14:conditionalFormatting>
        <x14:conditionalFormatting xmlns:xm="http://schemas.microsoft.com/office/excel/2006/main">
          <x14:cfRule type="dataBar" id="{C4FABE8D-C538-4F8C-AF3D-D761B694553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T18</xm:sqref>
        </x14:conditionalFormatting>
        <x14:conditionalFormatting xmlns:xm="http://schemas.microsoft.com/office/excel/2006/main">
          <x14:cfRule type="dataBar" id="{95C28DBC-1CBC-4CC5-8B31-E7020213734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T13</xm:sqref>
        </x14:conditionalFormatting>
        <x14:conditionalFormatting xmlns:xm="http://schemas.microsoft.com/office/excel/2006/main">
          <x14:cfRule type="dataBar" id="{D0D7514C-12FE-4A4F-8D11-1841726592C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N3:N5</xm:sqref>
        </x14:conditionalFormatting>
        <x14:conditionalFormatting xmlns:xm="http://schemas.microsoft.com/office/excel/2006/main">
          <x14:cfRule type="dataBar" id="{F0B90621-6DA6-4516-A516-05C42ACBDF1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N20:N22</xm:sqref>
        </x14:conditionalFormatting>
        <x14:conditionalFormatting xmlns:xm="http://schemas.microsoft.com/office/excel/2006/main">
          <x14:cfRule type="dataBar" id="{3534E561-107E-40A4-8165-E983FF420B6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N31:N35</xm:sqref>
        </x14:conditionalFormatting>
        <x14:conditionalFormatting xmlns:xm="http://schemas.microsoft.com/office/excel/2006/main">
          <x14:cfRule type="dataBar" id="{CC5A7198-6EFD-4BBD-B2B4-FEA92BA2984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P3:Q50</xm:sqref>
        </x14:conditionalFormatting>
        <x14:conditionalFormatting xmlns:xm="http://schemas.microsoft.com/office/excel/2006/main">
          <x14:cfRule type="dataBar" id="{C84B8479-0C38-4E8A-A10C-CE0A75F3F79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S3:S50</xm:sqref>
        </x14:conditionalFormatting>
        <x14:conditionalFormatting xmlns:xm="http://schemas.microsoft.com/office/excel/2006/main">
          <x14:cfRule type="dataBar" id="{A402283A-49C9-49C3-9204-C80C4705ACA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N46:N50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SIDRA</dc:creator>
  <cp:lastModifiedBy>Windows User</cp:lastModifiedBy>
  <dcterms:created xsi:type="dcterms:W3CDTF">2021-06-08T13:45:48Z</dcterms:created>
  <dcterms:modified xsi:type="dcterms:W3CDTF">2021-06-22T14:40:17Z</dcterms:modified>
</cp:coreProperties>
</file>